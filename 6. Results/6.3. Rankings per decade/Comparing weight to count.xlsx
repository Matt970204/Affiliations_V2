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ttJohnson/Desktop/Affiliations/6. Results/6.3. Rankings per decade/"/>
    </mc:Choice>
  </mc:AlternateContent>
  <xr:revisionPtr revIDLastSave="0" documentId="13_ncr:1_{1C4A43E8-2BE3-3049-AF8F-42C99DAE027F}" xr6:coauthVersionLast="47" xr6:coauthVersionMax="47" xr10:uidLastSave="{00000000-0000-0000-0000-000000000000}"/>
  <bookViews>
    <workbookView xWindow="0" yWindow="500" windowWidth="38400" windowHeight="21100" activeTab="3" xr2:uid="{00000000-000D-0000-FFFF-FFFF00000000}"/>
  </bookViews>
  <sheets>
    <sheet name="Sheet2" sheetId="2" r:id="rId1"/>
    <sheet name="Sheet3" sheetId="3" r:id="rId2"/>
    <sheet name="Sheet1" sheetId="1" r:id="rId3"/>
    <sheet name="Sheet4" sheetId="4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4" l="1"/>
  <c r="AD3" i="4"/>
  <c r="AN3" i="4" s="1"/>
  <c r="AD4" i="4"/>
  <c r="AN4" i="4" s="1"/>
  <c r="AD5" i="4"/>
  <c r="AN5" i="4" s="1"/>
  <c r="AD6" i="4"/>
  <c r="AN6" i="4" s="1"/>
  <c r="AD7" i="4"/>
  <c r="AD8" i="4"/>
  <c r="AN8" i="4" s="1"/>
  <c r="AD9" i="4"/>
  <c r="AN9" i="4" s="1"/>
  <c r="AD10" i="4"/>
  <c r="AN10" i="4" s="1"/>
  <c r="AD11" i="4"/>
  <c r="AN11" i="4" s="1"/>
  <c r="AD12" i="4"/>
  <c r="AN12" i="4" s="1"/>
  <c r="AD13" i="4"/>
  <c r="AN13" i="4" s="1"/>
  <c r="AD14" i="4"/>
  <c r="AN14" i="4" s="1"/>
  <c r="AD15" i="4"/>
  <c r="AN15" i="4" s="1"/>
  <c r="AD16" i="4"/>
  <c r="AN16" i="4" s="1"/>
  <c r="AD17" i="4"/>
  <c r="AN17" i="4" s="1"/>
  <c r="AD18" i="4"/>
  <c r="AN18" i="4" s="1"/>
  <c r="AD19" i="4"/>
  <c r="AN19" i="4" s="1"/>
  <c r="AD20" i="4"/>
  <c r="AN20" i="4" s="1"/>
  <c r="AD21" i="4"/>
  <c r="AN21" i="4" s="1"/>
  <c r="AD22" i="4"/>
  <c r="AN22" i="4" s="1"/>
  <c r="AD23" i="4"/>
  <c r="AN23" i="4" s="1"/>
  <c r="AD24" i="4"/>
  <c r="AN24" i="4" s="1"/>
  <c r="AD25" i="4"/>
  <c r="AN25" i="4" s="1"/>
  <c r="AD26" i="4"/>
  <c r="AN26" i="4" s="1"/>
  <c r="AD27" i="4"/>
  <c r="AN27" i="4" s="1"/>
  <c r="AD28" i="4"/>
  <c r="AN28" i="4" s="1"/>
  <c r="AD29" i="4"/>
  <c r="AN29" i="4" s="1"/>
  <c r="AD30" i="4"/>
  <c r="AN30" i="4" s="1"/>
  <c r="AD31" i="4"/>
  <c r="AN31" i="4" s="1"/>
  <c r="AD32" i="4"/>
  <c r="AN32" i="4" s="1"/>
  <c r="AD33" i="4"/>
  <c r="AN33" i="4" s="1"/>
  <c r="AD34" i="4"/>
  <c r="AN34" i="4" s="1"/>
  <c r="AD35" i="4"/>
  <c r="AN35" i="4" s="1"/>
  <c r="AD36" i="4"/>
  <c r="AN36" i="4" s="1"/>
  <c r="AD37" i="4"/>
  <c r="AN37" i="4" s="1"/>
  <c r="AD38" i="4"/>
  <c r="AN38" i="4" s="1"/>
  <c r="AD39" i="4"/>
  <c r="AN39" i="4" s="1"/>
  <c r="AD40" i="4"/>
  <c r="AN40" i="4" s="1"/>
  <c r="AD41" i="4"/>
  <c r="AN41" i="4" s="1"/>
  <c r="AD42" i="4"/>
  <c r="AN42" i="4" s="1"/>
  <c r="AD43" i="4"/>
  <c r="AN43" i="4" s="1"/>
  <c r="AD44" i="4"/>
  <c r="AN44" i="4" s="1"/>
  <c r="AD45" i="4"/>
  <c r="AN45" i="4" s="1"/>
  <c r="AD46" i="4"/>
  <c r="AN46" i="4" s="1"/>
  <c r="AD2" i="4"/>
  <c r="AN2" i="4" s="1"/>
  <c r="AG1" i="4"/>
  <c r="AH1" i="4"/>
  <c r="AI1" i="4"/>
  <c r="AJ1" i="4"/>
  <c r="AK1" i="4"/>
  <c r="AL1" i="4"/>
  <c r="AM1" i="4"/>
  <c r="AF1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2" i="4"/>
  <c r="AM6" i="4"/>
  <c r="AM22" i="4"/>
  <c r="AM46" i="4"/>
  <c r="AC3" i="4"/>
  <c r="AM3" i="4" s="1"/>
  <c r="AC4" i="4"/>
  <c r="AM4" i="4" s="1"/>
  <c r="AC5" i="4"/>
  <c r="AM5" i="4" s="1"/>
  <c r="AC6" i="4"/>
  <c r="AC7" i="4"/>
  <c r="AM7" i="4" s="1"/>
  <c r="AC8" i="4"/>
  <c r="AM8" i="4" s="1"/>
  <c r="AC9" i="4"/>
  <c r="AM9" i="4" s="1"/>
  <c r="AC10" i="4"/>
  <c r="AM10" i="4" s="1"/>
  <c r="AC11" i="4"/>
  <c r="AM11" i="4" s="1"/>
  <c r="AC12" i="4"/>
  <c r="AM12" i="4" s="1"/>
  <c r="AC13" i="4"/>
  <c r="AM13" i="4" s="1"/>
  <c r="AC14" i="4"/>
  <c r="AM14" i="4" s="1"/>
  <c r="AC15" i="4"/>
  <c r="AM15" i="4" s="1"/>
  <c r="AC16" i="4"/>
  <c r="AM16" i="4" s="1"/>
  <c r="AC17" i="4"/>
  <c r="AM17" i="4" s="1"/>
  <c r="AC18" i="4"/>
  <c r="AM18" i="4" s="1"/>
  <c r="AC19" i="4"/>
  <c r="AM19" i="4" s="1"/>
  <c r="AC20" i="4"/>
  <c r="AM20" i="4" s="1"/>
  <c r="AC21" i="4"/>
  <c r="AM21" i="4" s="1"/>
  <c r="AC22" i="4"/>
  <c r="AC23" i="4"/>
  <c r="AM23" i="4" s="1"/>
  <c r="AC24" i="4"/>
  <c r="AM24" i="4" s="1"/>
  <c r="AC25" i="4"/>
  <c r="AM25" i="4" s="1"/>
  <c r="AC26" i="4"/>
  <c r="AM26" i="4" s="1"/>
  <c r="AC27" i="4"/>
  <c r="AM27" i="4" s="1"/>
  <c r="AC28" i="4"/>
  <c r="AM28" i="4" s="1"/>
  <c r="AC29" i="4"/>
  <c r="AM29" i="4" s="1"/>
  <c r="AC30" i="4"/>
  <c r="AM30" i="4" s="1"/>
  <c r="AC31" i="4"/>
  <c r="AM31" i="4" s="1"/>
  <c r="AC32" i="4"/>
  <c r="AM32" i="4" s="1"/>
  <c r="AC33" i="4"/>
  <c r="AM33" i="4" s="1"/>
  <c r="AC34" i="4"/>
  <c r="AM34" i="4" s="1"/>
  <c r="AC35" i="4"/>
  <c r="AM35" i="4" s="1"/>
  <c r="AC36" i="4"/>
  <c r="AM36" i="4" s="1"/>
  <c r="AC37" i="4"/>
  <c r="AM37" i="4" s="1"/>
  <c r="AC38" i="4"/>
  <c r="AM38" i="4" s="1"/>
  <c r="AC39" i="4"/>
  <c r="AM39" i="4" s="1"/>
  <c r="AC40" i="4"/>
  <c r="AM40" i="4" s="1"/>
  <c r="AC41" i="4"/>
  <c r="AM41" i="4" s="1"/>
  <c r="AC42" i="4"/>
  <c r="AM42" i="4" s="1"/>
  <c r="AC43" i="4"/>
  <c r="AM43" i="4" s="1"/>
  <c r="AC44" i="4"/>
  <c r="AM44" i="4" s="1"/>
  <c r="AC45" i="4"/>
  <c r="AM45" i="4" s="1"/>
  <c r="AC46" i="4"/>
  <c r="AB3" i="4"/>
  <c r="AL3" i="4" s="1"/>
  <c r="AB4" i="4"/>
  <c r="AL4" i="4" s="1"/>
  <c r="AB5" i="4"/>
  <c r="AL5" i="4" s="1"/>
  <c r="AB6" i="4"/>
  <c r="AL6" i="4" s="1"/>
  <c r="AB7" i="4"/>
  <c r="AL7" i="4" s="1"/>
  <c r="AB8" i="4"/>
  <c r="AL8" i="4" s="1"/>
  <c r="AB9" i="4"/>
  <c r="AL9" i="4" s="1"/>
  <c r="AB10" i="4"/>
  <c r="AL10" i="4" s="1"/>
  <c r="AB11" i="4"/>
  <c r="AL11" i="4" s="1"/>
  <c r="AB12" i="4"/>
  <c r="AL12" i="4" s="1"/>
  <c r="AB13" i="4"/>
  <c r="AL13" i="4" s="1"/>
  <c r="AB14" i="4"/>
  <c r="AL14" i="4" s="1"/>
  <c r="AB15" i="4"/>
  <c r="AL15" i="4" s="1"/>
  <c r="AB16" i="4"/>
  <c r="AL16" i="4" s="1"/>
  <c r="AB17" i="4"/>
  <c r="AL17" i="4" s="1"/>
  <c r="AB18" i="4"/>
  <c r="AL18" i="4" s="1"/>
  <c r="AB19" i="4"/>
  <c r="AL19" i="4" s="1"/>
  <c r="AB20" i="4"/>
  <c r="AL20" i="4" s="1"/>
  <c r="AB21" i="4"/>
  <c r="AL21" i="4" s="1"/>
  <c r="AB22" i="4"/>
  <c r="AL22" i="4" s="1"/>
  <c r="AB23" i="4"/>
  <c r="AL23" i="4" s="1"/>
  <c r="AB24" i="4"/>
  <c r="AL24" i="4" s="1"/>
  <c r="AB25" i="4"/>
  <c r="AL25" i="4" s="1"/>
  <c r="AB26" i="4"/>
  <c r="AL26" i="4" s="1"/>
  <c r="AB27" i="4"/>
  <c r="AL27" i="4" s="1"/>
  <c r="AB28" i="4"/>
  <c r="AL28" i="4" s="1"/>
  <c r="AB29" i="4"/>
  <c r="AL29" i="4" s="1"/>
  <c r="AB30" i="4"/>
  <c r="AL30" i="4" s="1"/>
  <c r="AB31" i="4"/>
  <c r="AL31" i="4" s="1"/>
  <c r="AB32" i="4"/>
  <c r="AL32" i="4" s="1"/>
  <c r="AB33" i="4"/>
  <c r="AL33" i="4" s="1"/>
  <c r="AB34" i="4"/>
  <c r="AL34" i="4" s="1"/>
  <c r="AB35" i="4"/>
  <c r="AL35" i="4" s="1"/>
  <c r="AB36" i="4"/>
  <c r="AL36" i="4" s="1"/>
  <c r="AB37" i="4"/>
  <c r="AL37" i="4" s="1"/>
  <c r="AB38" i="4"/>
  <c r="AL38" i="4" s="1"/>
  <c r="AB39" i="4"/>
  <c r="AL39" i="4" s="1"/>
  <c r="AB40" i="4"/>
  <c r="AL40" i="4" s="1"/>
  <c r="AB41" i="4"/>
  <c r="AL41" i="4" s="1"/>
  <c r="AB42" i="4"/>
  <c r="AL42" i="4" s="1"/>
  <c r="AB43" i="4"/>
  <c r="AL43" i="4" s="1"/>
  <c r="AB44" i="4"/>
  <c r="AL44" i="4" s="1"/>
  <c r="AB45" i="4"/>
  <c r="AL45" i="4" s="1"/>
  <c r="AB46" i="4"/>
  <c r="AL46" i="4" s="1"/>
  <c r="AA3" i="4"/>
  <c r="AK3" i="4" s="1"/>
  <c r="AA4" i="4"/>
  <c r="AK4" i="4" s="1"/>
  <c r="AA5" i="4"/>
  <c r="AK5" i="4" s="1"/>
  <c r="AA6" i="4"/>
  <c r="AK6" i="4" s="1"/>
  <c r="AA7" i="4"/>
  <c r="AK7" i="4" s="1"/>
  <c r="AA8" i="4"/>
  <c r="AK8" i="4" s="1"/>
  <c r="AA9" i="4"/>
  <c r="AK9" i="4" s="1"/>
  <c r="AA10" i="4"/>
  <c r="AK10" i="4" s="1"/>
  <c r="AA11" i="4"/>
  <c r="AK11" i="4" s="1"/>
  <c r="AA12" i="4"/>
  <c r="AK12" i="4" s="1"/>
  <c r="AA13" i="4"/>
  <c r="AK13" i="4" s="1"/>
  <c r="AA14" i="4"/>
  <c r="AK14" i="4" s="1"/>
  <c r="AA15" i="4"/>
  <c r="AK15" i="4" s="1"/>
  <c r="AA16" i="4"/>
  <c r="AK16" i="4" s="1"/>
  <c r="AA17" i="4"/>
  <c r="AK17" i="4" s="1"/>
  <c r="AA18" i="4"/>
  <c r="AK18" i="4" s="1"/>
  <c r="AA19" i="4"/>
  <c r="AK19" i="4" s="1"/>
  <c r="AA20" i="4"/>
  <c r="AK20" i="4" s="1"/>
  <c r="AA21" i="4"/>
  <c r="AK21" i="4" s="1"/>
  <c r="AA22" i="4"/>
  <c r="AK22" i="4" s="1"/>
  <c r="AA23" i="4"/>
  <c r="AK23" i="4" s="1"/>
  <c r="AA24" i="4"/>
  <c r="AK24" i="4" s="1"/>
  <c r="AA25" i="4"/>
  <c r="AK25" i="4" s="1"/>
  <c r="AA26" i="4"/>
  <c r="AK26" i="4" s="1"/>
  <c r="AA27" i="4"/>
  <c r="AK27" i="4" s="1"/>
  <c r="AA28" i="4"/>
  <c r="AK28" i="4" s="1"/>
  <c r="AA29" i="4"/>
  <c r="AK29" i="4" s="1"/>
  <c r="AA30" i="4"/>
  <c r="AK30" i="4" s="1"/>
  <c r="AA31" i="4"/>
  <c r="AK31" i="4" s="1"/>
  <c r="AA32" i="4"/>
  <c r="AK32" i="4" s="1"/>
  <c r="AA33" i="4"/>
  <c r="AK33" i="4" s="1"/>
  <c r="AA34" i="4"/>
  <c r="AK34" i="4" s="1"/>
  <c r="AA35" i="4"/>
  <c r="AK35" i="4" s="1"/>
  <c r="AA36" i="4"/>
  <c r="AK36" i="4" s="1"/>
  <c r="AA37" i="4"/>
  <c r="AK37" i="4" s="1"/>
  <c r="AA38" i="4"/>
  <c r="AK38" i="4" s="1"/>
  <c r="AA39" i="4"/>
  <c r="AK39" i="4" s="1"/>
  <c r="AA40" i="4"/>
  <c r="AK40" i="4" s="1"/>
  <c r="AA41" i="4"/>
  <c r="AK41" i="4" s="1"/>
  <c r="AA42" i="4"/>
  <c r="AK42" i="4" s="1"/>
  <c r="AA43" i="4"/>
  <c r="AK43" i="4" s="1"/>
  <c r="AA44" i="4"/>
  <c r="AK44" i="4" s="1"/>
  <c r="AA45" i="4"/>
  <c r="AK45" i="4" s="1"/>
  <c r="AA46" i="4"/>
  <c r="AK46" i="4" s="1"/>
  <c r="Z3" i="4"/>
  <c r="AJ3" i="4" s="1"/>
  <c r="Z4" i="4"/>
  <c r="AJ4" i="4" s="1"/>
  <c r="Z5" i="4"/>
  <c r="AJ5" i="4" s="1"/>
  <c r="Z6" i="4"/>
  <c r="AJ6" i="4" s="1"/>
  <c r="Z7" i="4"/>
  <c r="AJ7" i="4" s="1"/>
  <c r="Z8" i="4"/>
  <c r="AJ8" i="4" s="1"/>
  <c r="Z9" i="4"/>
  <c r="AJ9" i="4" s="1"/>
  <c r="Z10" i="4"/>
  <c r="AJ10" i="4" s="1"/>
  <c r="Z11" i="4"/>
  <c r="AJ11" i="4" s="1"/>
  <c r="Z12" i="4"/>
  <c r="AJ12" i="4" s="1"/>
  <c r="Z13" i="4"/>
  <c r="AJ13" i="4" s="1"/>
  <c r="Z14" i="4"/>
  <c r="AJ14" i="4" s="1"/>
  <c r="Z15" i="4"/>
  <c r="AJ15" i="4" s="1"/>
  <c r="Z16" i="4"/>
  <c r="AJ16" i="4" s="1"/>
  <c r="Z17" i="4"/>
  <c r="AJ17" i="4" s="1"/>
  <c r="Z18" i="4"/>
  <c r="AJ18" i="4" s="1"/>
  <c r="Z19" i="4"/>
  <c r="AJ19" i="4" s="1"/>
  <c r="Z20" i="4"/>
  <c r="AJ20" i="4" s="1"/>
  <c r="Z21" i="4"/>
  <c r="AJ21" i="4" s="1"/>
  <c r="Z22" i="4"/>
  <c r="AJ22" i="4" s="1"/>
  <c r="Z23" i="4"/>
  <c r="AJ23" i="4" s="1"/>
  <c r="Z24" i="4"/>
  <c r="AJ24" i="4" s="1"/>
  <c r="Z25" i="4"/>
  <c r="AJ25" i="4" s="1"/>
  <c r="Z26" i="4"/>
  <c r="AJ26" i="4" s="1"/>
  <c r="Z27" i="4"/>
  <c r="AJ27" i="4" s="1"/>
  <c r="Z28" i="4"/>
  <c r="AJ28" i="4" s="1"/>
  <c r="Z29" i="4"/>
  <c r="AJ29" i="4" s="1"/>
  <c r="Z30" i="4"/>
  <c r="AJ30" i="4" s="1"/>
  <c r="Z31" i="4"/>
  <c r="AJ31" i="4" s="1"/>
  <c r="Z32" i="4"/>
  <c r="AJ32" i="4" s="1"/>
  <c r="Z33" i="4"/>
  <c r="AJ33" i="4" s="1"/>
  <c r="Z34" i="4"/>
  <c r="AJ34" i="4" s="1"/>
  <c r="Z35" i="4"/>
  <c r="AJ35" i="4" s="1"/>
  <c r="Z36" i="4"/>
  <c r="AJ36" i="4" s="1"/>
  <c r="Z37" i="4"/>
  <c r="AJ37" i="4" s="1"/>
  <c r="Z38" i="4"/>
  <c r="AJ38" i="4" s="1"/>
  <c r="Z39" i="4"/>
  <c r="AJ39" i="4" s="1"/>
  <c r="Z40" i="4"/>
  <c r="AJ40" i="4" s="1"/>
  <c r="Z41" i="4"/>
  <c r="AJ41" i="4" s="1"/>
  <c r="Z42" i="4"/>
  <c r="AJ42" i="4" s="1"/>
  <c r="Z43" i="4"/>
  <c r="AJ43" i="4" s="1"/>
  <c r="Z44" i="4"/>
  <c r="AJ44" i="4" s="1"/>
  <c r="Z45" i="4"/>
  <c r="AJ45" i="4" s="1"/>
  <c r="Z46" i="4"/>
  <c r="AJ46" i="4" s="1"/>
  <c r="Y3" i="4"/>
  <c r="AI3" i="4" s="1"/>
  <c r="Y4" i="4"/>
  <c r="AI4" i="4" s="1"/>
  <c r="Y5" i="4"/>
  <c r="AI5" i="4" s="1"/>
  <c r="Y6" i="4"/>
  <c r="AI6" i="4" s="1"/>
  <c r="Y7" i="4"/>
  <c r="AI7" i="4" s="1"/>
  <c r="Y8" i="4"/>
  <c r="AI8" i="4" s="1"/>
  <c r="Y9" i="4"/>
  <c r="AI9" i="4" s="1"/>
  <c r="Y10" i="4"/>
  <c r="AI10" i="4" s="1"/>
  <c r="Y11" i="4"/>
  <c r="AI11" i="4" s="1"/>
  <c r="Y12" i="4"/>
  <c r="AI12" i="4" s="1"/>
  <c r="Y13" i="4"/>
  <c r="AI13" i="4" s="1"/>
  <c r="Y14" i="4"/>
  <c r="AI14" i="4" s="1"/>
  <c r="Y15" i="4"/>
  <c r="AI15" i="4" s="1"/>
  <c r="Y16" i="4"/>
  <c r="AI16" i="4" s="1"/>
  <c r="Y17" i="4"/>
  <c r="AI17" i="4" s="1"/>
  <c r="Y18" i="4"/>
  <c r="AI18" i="4" s="1"/>
  <c r="Y19" i="4"/>
  <c r="AI19" i="4" s="1"/>
  <c r="Y20" i="4"/>
  <c r="AI20" i="4" s="1"/>
  <c r="Y21" i="4"/>
  <c r="AI21" i="4" s="1"/>
  <c r="Y22" i="4"/>
  <c r="AI22" i="4" s="1"/>
  <c r="Y23" i="4"/>
  <c r="AI23" i="4" s="1"/>
  <c r="Y24" i="4"/>
  <c r="AI24" i="4" s="1"/>
  <c r="Y25" i="4"/>
  <c r="AI25" i="4" s="1"/>
  <c r="Y26" i="4"/>
  <c r="AI26" i="4" s="1"/>
  <c r="Y27" i="4"/>
  <c r="AI27" i="4" s="1"/>
  <c r="Y28" i="4"/>
  <c r="AI28" i="4" s="1"/>
  <c r="Y29" i="4"/>
  <c r="AI29" i="4" s="1"/>
  <c r="Y30" i="4"/>
  <c r="AI30" i="4" s="1"/>
  <c r="Y31" i="4"/>
  <c r="AI31" i="4" s="1"/>
  <c r="Y32" i="4"/>
  <c r="AI32" i="4" s="1"/>
  <c r="Y33" i="4"/>
  <c r="AI33" i="4" s="1"/>
  <c r="Y34" i="4"/>
  <c r="AI34" i="4" s="1"/>
  <c r="Y35" i="4"/>
  <c r="AI35" i="4" s="1"/>
  <c r="Y36" i="4"/>
  <c r="AI36" i="4" s="1"/>
  <c r="Y37" i="4"/>
  <c r="AI37" i="4" s="1"/>
  <c r="Y38" i="4"/>
  <c r="AI38" i="4" s="1"/>
  <c r="Y39" i="4"/>
  <c r="AI39" i="4" s="1"/>
  <c r="Y40" i="4"/>
  <c r="AI40" i="4" s="1"/>
  <c r="Y41" i="4"/>
  <c r="AI41" i="4" s="1"/>
  <c r="Y42" i="4"/>
  <c r="AI42" i="4" s="1"/>
  <c r="Y43" i="4"/>
  <c r="AI43" i="4" s="1"/>
  <c r="Y44" i="4"/>
  <c r="AI44" i="4" s="1"/>
  <c r="Y45" i="4"/>
  <c r="AI45" i="4" s="1"/>
  <c r="Y46" i="4"/>
  <c r="AI46" i="4" s="1"/>
  <c r="AC2" i="4"/>
  <c r="AM2" i="4" s="1"/>
  <c r="AB2" i="4"/>
  <c r="AL2" i="4" s="1"/>
  <c r="AA2" i="4"/>
  <c r="AK2" i="4" s="1"/>
  <c r="Z2" i="4"/>
  <c r="AJ2" i="4" s="1"/>
  <c r="Y2" i="4"/>
  <c r="AI2" i="4" s="1"/>
  <c r="X3" i="4"/>
  <c r="AH3" i="4" s="1"/>
  <c r="X4" i="4"/>
  <c r="AH4" i="4" s="1"/>
  <c r="X5" i="4"/>
  <c r="AH5" i="4" s="1"/>
  <c r="X6" i="4"/>
  <c r="AH6" i="4" s="1"/>
  <c r="X7" i="4"/>
  <c r="AH7" i="4" s="1"/>
  <c r="X8" i="4"/>
  <c r="AH8" i="4" s="1"/>
  <c r="X9" i="4"/>
  <c r="AH9" i="4" s="1"/>
  <c r="X10" i="4"/>
  <c r="AH10" i="4" s="1"/>
  <c r="X11" i="4"/>
  <c r="AH11" i="4" s="1"/>
  <c r="X12" i="4"/>
  <c r="AH12" i="4" s="1"/>
  <c r="X13" i="4"/>
  <c r="AH13" i="4" s="1"/>
  <c r="X14" i="4"/>
  <c r="AH14" i="4" s="1"/>
  <c r="X15" i="4"/>
  <c r="AH15" i="4" s="1"/>
  <c r="X16" i="4"/>
  <c r="AH16" i="4" s="1"/>
  <c r="X17" i="4"/>
  <c r="AH17" i="4" s="1"/>
  <c r="X18" i="4"/>
  <c r="AH18" i="4" s="1"/>
  <c r="X19" i="4"/>
  <c r="AH19" i="4" s="1"/>
  <c r="X20" i="4"/>
  <c r="AH20" i="4" s="1"/>
  <c r="X21" i="4"/>
  <c r="AH21" i="4" s="1"/>
  <c r="X22" i="4"/>
  <c r="AH22" i="4" s="1"/>
  <c r="X23" i="4"/>
  <c r="AH23" i="4" s="1"/>
  <c r="X24" i="4"/>
  <c r="AH24" i="4" s="1"/>
  <c r="X25" i="4"/>
  <c r="AH25" i="4" s="1"/>
  <c r="X26" i="4"/>
  <c r="AH26" i="4" s="1"/>
  <c r="X27" i="4"/>
  <c r="AH27" i="4" s="1"/>
  <c r="X28" i="4"/>
  <c r="AH28" i="4" s="1"/>
  <c r="X29" i="4"/>
  <c r="AH29" i="4" s="1"/>
  <c r="X30" i="4"/>
  <c r="AH30" i="4" s="1"/>
  <c r="X31" i="4"/>
  <c r="AH31" i="4" s="1"/>
  <c r="X32" i="4"/>
  <c r="AH32" i="4" s="1"/>
  <c r="X33" i="4"/>
  <c r="AH33" i="4" s="1"/>
  <c r="X34" i="4"/>
  <c r="AH34" i="4" s="1"/>
  <c r="X35" i="4"/>
  <c r="AH35" i="4" s="1"/>
  <c r="X36" i="4"/>
  <c r="AH36" i="4" s="1"/>
  <c r="X37" i="4"/>
  <c r="AH37" i="4" s="1"/>
  <c r="X38" i="4"/>
  <c r="AH38" i="4" s="1"/>
  <c r="X39" i="4"/>
  <c r="AH39" i="4" s="1"/>
  <c r="X40" i="4"/>
  <c r="AH40" i="4" s="1"/>
  <c r="X41" i="4"/>
  <c r="AH41" i="4" s="1"/>
  <c r="X42" i="4"/>
  <c r="AH42" i="4" s="1"/>
  <c r="X43" i="4"/>
  <c r="AH43" i="4" s="1"/>
  <c r="X44" i="4"/>
  <c r="AH44" i="4" s="1"/>
  <c r="X45" i="4"/>
  <c r="AH45" i="4" s="1"/>
  <c r="X46" i="4"/>
  <c r="AH46" i="4" s="1"/>
  <c r="X2" i="4"/>
  <c r="AH2" i="4" s="1"/>
  <c r="W2" i="4"/>
  <c r="AG2" i="4" s="1"/>
  <c r="W3" i="4"/>
  <c r="AG3" i="4" s="1"/>
  <c r="W4" i="4"/>
  <c r="AG4" i="4" s="1"/>
  <c r="W5" i="4"/>
  <c r="AG5" i="4" s="1"/>
  <c r="W6" i="4"/>
  <c r="AG6" i="4" s="1"/>
  <c r="W7" i="4"/>
  <c r="AG7" i="4" s="1"/>
  <c r="W8" i="4"/>
  <c r="AG8" i="4" s="1"/>
  <c r="W9" i="4"/>
  <c r="AG9" i="4" s="1"/>
  <c r="W10" i="4"/>
  <c r="AG10" i="4" s="1"/>
  <c r="W11" i="4"/>
  <c r="AG11" i="4" s="1"/>
  <c r="W12" i="4"/>
  <c r="AG12" i="4" s="1"/>
  <c r="W13" i="4"/>
  <c r="AG13" i="4" s="1"/>
  <c r="W14" i="4"/>
  <c r="AG14" i="4" s="1"/>
  <c r="W15" i="4"/>
  <c r="AG15" i="4" s="1"/>
  <c r="W16" i="4"/>
  <c r="AG16" i="4" s="1"/>
  <c r="W17" i="4"/>
  <c r="AG17" i="4" s="1"/>
  <c r="W18" i="4"/>
  <c r="AG18" i="4" s="1"/>
  <c r="W19" i="4"/>
  <c r="AG19" i="4" s="1"/>
  <c r="W20" i="4"/>
  <c r="AG20" i="4" s="1"/>
  <c r="W21" i="4"/>
  <c r="AG21" i="4" s="1"/>
  <c r="W22" i="4"/>
  <c r="AG22" i="4" s="1"/>
  <c r="W23" i="4"/>
  <c r="AG23" i="4" s="1"/>
  <c r="W24" i="4"/>
  <c r="AG24" i="4" s="1"/>
  <c r="W25" i="4"/>
  <c r="AG25" i="4" s="1"/>
  <c r="W26" i="4"/>
  <c r="AG26" i="4" s="1"/>
  <c r="W27" i="4"/>
  <c r="AG27" i="4" s="1"/>
  <c r="W28" i="4"/>
  <c r="AG28" i="4" s="1"/>
  <c r="W29" i="4"/>
  <c r="AG29" i="4" s="1"/>
  <c r="W30" i="4"/>
  <c r="AG30" i="4" s="1"/>
  <c r="W31" i="4"/>
  <c r="AG31" i="4" s="1"/>
  <c r="W32" i="4"/>
  <c r="AG32" i="4" s="1"/>
  <c r="W33" i="4"/>
  <c r="AG33" i="4" s="1"/>
  <c r="W34" i="4"/>
  <c r="AG34" i="4" s="1"/>
  <c r="W35" i="4"/>
  <c r="AG35" i="4" s="1"/>
  <c r="W36" i="4"/>
  <c r="AG36" i="4" s="1"/>
  <c r="W37" i="4"/>
  <c r="AG37" i="4" s="1"/>
  <c r="W38" i="4"/>
  <c r="AG38" i="4" s="1"/>
  <c r="W39" i="4"/>
  <c r="AG39" i="4" s="1"/>
  <c r="W40" i="4"/>
  <c r="AG40" i="4" s="1"/>
  <c r="W41" i="4"/>
  <c r="AG41" i="4" s="1"/>
  <c r="W42" i="4"/>
  <c r="AG42" i="4" s="1"/>
  <c r="W43" i="4"/>
  <c r="AG43" i="4" s="1"/>
  <c r="W44" i="4"/>
  <c r="AG44" i="4" s="1"/>
  <c r="W45" i="4"/>
  <c r="AG45" i="4" s="1"/>
  <c r="W46" i="4"/>
  <c r="AG46" i="4" s="1"/>
  <c r="X2" i="1"/>
  <c r="AA21" i="1"/>
  <c r="AF2" i="1"/>
  <c r="Y2" i="1"/>
  <c r="Y51" i="1" s="1"/>
  <c r="Z2" i="1"/>
  <c r="Z51" i="1" s="1"/>
  <c r="AA2" i="1"/>
  <c r="AB2" i="1"/>
  <c r="AB51" i="1" s="1"/>
  <c r="AC2" i="1"/>
  <c r="AC51" i="1" s="1"/>
  <c r="AD2" i="1"/>
  <c r="AD51" i="1" s="1"/>
  <c r="AE2" i="1"/>
  <c r="Y3" i="1"/>
  <c r="Z3" i="1"/>
  <c r="AA3" i="1"/>
  <c r="AB3" i="1"/>
  <c r="AC3" i="1"/>
  <c r="AD3" i="1"/>
  <c r="AE3" i="1"/>
  <c r="AE51" i="1" s="1"/>
  <c r="AF3" i="1"/>
  <c r="AF51" i="1" s="1"/>
  <c r="Y4" i="1"/>
  <c r="Z4" i="1"/>
  <c r="AA4" i="1"/>
  <c r="AB4" i="1"/>
  <c r="AC4" i="1"/>
  <c r="AD4" i="1"/>
  <c r="AE4" i="1"/>
  <c r="AF4" i="1"/>
  <c r="Y5" i="1"/>
  <c r="Z5" i="1"/>
  <c r="AA5" i="1"/>
  <c r="AB5" i="1"/>
  <c r="AC5" i="1"/>
  <c r="AD5" i="1"/>
  <c r="AE5" i="1"/>
  <c r="AF5" i="1"/>
  <c r="Y6" i="1"/>
  <c r="Z6" i="1"/>
  <c r="AA6" i="1"/>
  <c r="AB6" i="1"/>
  <c r="AC6" i="1"/>
  <c r="AD6" i="1"/>
  <c r="AE6" i="1"/>
  <c r="AF6" i="1"/>
  <c r="Y7" i="1"/>
  <c r="Z7" i="1"/>
  <c r="AA7" i="1"/>
  <c r="AB7" i="1"/>
  <c r="AC7" i="1"/>
  <c r="AD7" i="1"/>
  <c r="AE7" i="1"/>
  <c r="AF7" i="1"/>
  <c r="Y8" i="1"/>
  <c r="Z8" i="1"/>
  <c r="AA8" i="1"/>
  <c r="AB8" i="1"/>
  <c r="AC8" i="1"/>
  <c r="AD8" i="1"/>
  <c r="AE8" i="1"/>
  <c r="AF8" i="1"/>
  <c r="Y9" i="1"/>
  <c r="Z9" i="1"/>
  <c r="AA9" i="1"/>
  <c r="AB9" i="1"/>
  <c r="AC9" i="1"/>
  <c r="AD9" i="1"/>
  <c r="AE9" i="1"/>
  <c r="AF9" i="1"/>
  <c r="Y10" i="1"/>
  <c r="Z10" i="1"/>
  <c r="AA10" i="1"/>
  <c r="AB10" i="1"/>
  <c r="AC10" i="1"/>
  <c r="AD10" i="1"/>
  <c r="AE10" i="1"/>
  <c r="AF10" i="1"/>
  <c r="Y11" i="1"/>
  <c r="Z11" i="1"/>
  <c r="AA11" i="1"/>
  <c r="AB11" i="1"/>
  <c r="AC11" i="1"/>
  <c r="AD11" i="1"/>
  <c r="AE11" i="1"/>
  <c r="AF11" i="1"/>
  <c r="Y12" i="1"/>
  <c r="Z12" i="1"/>
  <c r="AA12" i="1"/>
  <c r="AB12" i="1"/>
  <c r="AC12" i="1"/>
  <c r="AD12" i="1"/>
  <c r="AE12" i="1"/>
  <c r="AF12" i="1"/>
  <c r="Y13" i="1"/>
  <c r="Z13" i="1"/>
  <c r="AA13" i="1"/>
  <c r="AB13" i="1"/>
  <c r="AC13" i="1"/>
  <c r="AD13" i="1"/>
  <c r="AE13" i="1"/>
  <c r="AF13" i="1"/>
  <c r="Y14" i="1"/>
  <c r="Z14" i="1"/>
  <c r="AA14" i="1"/>
  <c r="AB14" i="1"/>
  <c r="AC14" i="1"/>
  <c r="AD14" i="1"/>
  <c r="AE14" i="1"/>
  <c r="AF14" i="1"/>
  <c r="Y15" i="1"/>
  <c r="Z15" i="1"/>
  <c r="AA15" i="1"/>
  <c r="AB15" i="1"/>
  <c r="AC15" i="1"/>
  <c r="AD15" i="1"/>
  <c r="AE15" i="1"/>
  <c r="AF15" i="1"/>
  <c r="Y16" i="1"/>
  <c r="Z16" i="1"/>
  <c r="AA16" i="1"/>
  <c r="AB16" i="1"/>
  <c r="AC16" i="1"/>
  <c r="AD16" i="1"/>
  <c r="AE16" i="1"/>
  <c r="AF16" i="1"/>
  <c r="Y17" i="1"/>
  <c r="Z17" i="1"/>
  <c r="AA17" i="1"/>
  <c r="AB17" i="1"/>
  <c r="AC17" i="1"/>
  <c r="AD17" i="1"/>
  <c r="AE17" i="1"/>
  <c r="AF17" i="1"/>
  <c r="Y18" i="1"/>
  <c r="Z18" i="1"/>
  <c r="AA18" i="1"/>
  <c r="AB18" i="1"/>
  <c r="AC18" i="1"/>
  <c r="AD18" i="1"/>
  <c r="AE18" i="1"/>
  <c r="AF18" i="1"/>
  <c r="Y19" i="1"/>
  <c r="Z19" i="1"/>
  <c r="AA19" i="1"/>
  <c r="AB19" i="1"/>
  <c r="AC19" i="1"/>
  <c r="AD19" i="1"/>
  <c r="AE19" i="1"/>
  <c r="AF19" i="1"/>
  <c r="Y20" i="1"/>
  <c r="Z20" i="1"/>
  <c r="AA20" i="1"/>
  <c r="AB20" i="1"/>
  <c r="AC20" i="1"/>
  <c r="AD20" i="1"/>
  <c r="AE20" i="1"/>
  <c r="AF20" i="1"/>
  <c r="Y21" i="1"/>
  <c r="Z21" i="1"/>
  <c r="AB21" i="1"/>
  <c r="AC21" i="1"/>
  <c r="AD21" i="1"/>
  <c r="AE21" i="1"/>
  <c r="AF21" i="1"/>
  <c r="Y22" i="1"/>
  <c r="Z22" i="1"/>
  <c r="AA22" i="1"/>
  <c r="AB22" i="1"/>
  <c r="AC22" i="1"/>
  <c r="AD22" i="1"/>
  <c r="AE22" i="1"/>
  <c r="AF22" i="1"/>
  <c r="Y23" i="1"/>
  <c r="Z23" i="1"/>
  <c r="AA23" i="1"/>
  <c r="AB23" i="1"/>
  <c r="AC23" i="1"/>
  <c r="AD23" i="1"/>
  <c r="AE23" i="1"/>
  <c r="AF23" i="1"/>
  <c r="Y24" i="1"/>
  <c r="Z24" i="1"/>
  <c r="AA24" i="1"/>
  <c r="AB24" i="1"/>
  <c r="AC24" i="1"/>
  <c r="AD24" i="1"/>
  <c r="AE24" i="1"/>
  <c r="AF24" i="1"/>
  <c r="Y25" i="1"/>
  <c r="Z25" i="1"/>
  <c r="AA25" i="1"/>
  <c r="AB25" i="1"/>
  <c r="AC25" i="1"/>
  <c r="AD25" i="1"/>
  <c r="AE25" i="1"/>
  <c r="AF25" i="1"/>
  <c r="Y26" i="1"/>
  <c r="Z26" i="1"/>
  <c r="AA26" i="1"/>
  <c r="AB26" i="1"/>
  <c r="AC26" i="1"/>
  <c r="AD26" i="1"/>
  <c r="AE26" i="1"/>
  <c r="AF26" i="1"/>
  <c r="Y27" i="1"/>
  <c r="Z27" i="1"/>
  <c r="AA27" i="1"/>
  <c r="AB27" i="1"/>
  <c r="AC27" i="1"/>
  <c r="AD27" i="1"/>
  <c r="AE27" i="1"/>
  <c r="AF27" i="1"/>
  <c r="Y28" i="1"/>
  <c r="Z28" i="1"/>
  <c r="AA28" i="1"/>
  <c r="AB28" i="1"/>
  <c r="AC28" i="1"/>
  <c r="AD28" i="1"/>
  <c r="AE28" i="1"/>
  <c r="AF28" i="1"/>
  <c r="Y29" i="1"/>
  <c r="Z29" i="1"/>
  <c r="AA29" i="1"/>
  <c r="AB29" i="1"/>
  <c r="AC29" i="1"/>
  <c r="AD29" i="1"/>
  <c r="AE29" i="1"/>
  <c r="AF29" i="1"/>
  <c r="Y30" i="1"/>
  <c r="Z30" i="1"/>
  <c r="AA30" i="1"/>
  <c r="AB30" i="1"/>
  <c r="AC30" i="1"/>
  <c r="AD30" i="1"/>
  <c r="AE30" i="1"/>
  <c r="AF30" i="1"/>
  <c r="Y31" i="1"/>
  <c r="Z31" i="1"/>
  <c r="AA31" i="1"/>
  <c r="AB31" i="1"/>
  <c r="AC31" i="1"/>
  <c r="AD31" i="1"/>
  <c r="AE31" i="1"/>
  <c r="AF31" i="1"/>
  <c r="Y32" i="1"/>
  <c r="Z32" i="1"/>
  <c r="AA32" i="1"/>
  <c r="AB32" i="1"/>
  <c r="AC32" i="1"/>
  <c r="AD32" i="1"/>
  <c r="AE32" i="1"/>
  <c r="AF32" i="1"/>
  <c r="Y33" i="1"/>
  <c r="Z33" i="1"/>
  <c r="AA33" i="1"/>
  <c r="AB33" i="1"/>
  <c r="AC33" i="1"/>
  <c r="AD33" i="1"/>
  <c r="AE33" i="1"/>
  <c r="AF33" i="1"/>
  <c r="Y34" i="1"/>
  <c r="Z34" i="1"/>
  <c r="AA34" i="1"/>
  <c r="AB34" i="1"/>
  <c r="AC34" i="1"/>
  <c r="AD34" i="1"/>
  <c r="AE34" i="1"/>
  <c r="AF34" i="1"/>
  <c r="Y35" i="1"/>
  <c r="Z35" i="1"/>
  <c r="AA35" i="1"/>
  <c r="AB35" i="1"/>
  <c r="AC35" i="1"/>
  <c r="AD35" i="1"/>
  <c r="AE35" i="1"/>
  <c r="AF35" i="1"/>
  <c r="Y36" i="1"/>
  <c r="Z36" i="1"/>
  <c r="AA36" i="1"/>
  <c r="AB36" i="1"/>
  <c r="AC36" i="1"/>
  <c r="AD36" i="1"/>
  <c r="AE36" i="1"/>
  <c r="AF36" i="1"/>
  <c r="Y37" i="1"/>
  <c r="Z37" i="1"/>
  <c r="AA37" i="1"/>
  <c r="AB37" i="1"/>
  <c r="AC37" i="1"/>
  <c r="AD37" i="1"/>
  <c r="AE37" i="1"/>
  <c r="AF37" i="1"/>
  <c r="Y38" i="1"/>
  <c r="Z38" i="1"/>
  <c r="AA38" i="1"/>
  <c r="AB38" i="1"/>
  <c r="AC38" i="1"/>
  <c r="AD38" i="1"/>
  <c r="AE38" i="1"/>
  <c r="AF38" i="1"/>
  <c r="Y39" i="1"/>
  <c r="Z39" i="1"/>
  <c r="AA39" i="1"/>
  <c r="AB39" i="1"/>
  <c r="AC39" i="1"/>
  <c r="AD39" i="1"/>
  <c r="AE39" i="1"/>
  <c r="AF39" i="1"/>
  <c r="Y40" i="1"/>
  <c r="Z40" i="1"/>
  <c r="AA40" i="1"/>
  <c r="AB40" i="1"/>
  <c r="AC40" i="1"/>
  <c r="AD40" i="1"/>
  <c r="AE40" i="1"/>
  <c r="AF40" i="1"/>
  <c r="Y41" i="1"/>
  <c r="Z41" i="1"/>
  <c r="AA41" i="1"/>
  <c r="AB41" i="1"/>
  <c r="AC41" i="1"/>
  <c r="AD41" i="1"/>
  <c r="AE41" i="1"/>
  <c r="AF41" i="1"/>
  <c r="Y42" i="1"/>
  <c r="Z42" i="1"/>
  <c r="AA42" i="1"/>
  <c r="AB42" i="1"/>
  <c r="AC42" i="1"/>
  <c r="AD42" i="1"/>
  <c r="AE42" i="1"/>
  <c r="AF42" i="1"/>
  <c r="Y43" i="1"/>
  <c r="Z43" i="1"/>
  <c r="AA43" i="1"/>
  <c r="AB43" i="1"/>
  <c r="AC43" i="1"/>
  <c r="AD43" i="1"/>
  <c r="AE43" i="1"/>
  <c r="AF43" i="1"/>
  <c r="Y44" i="1"/>
  <c r="Z44" i="1"/>
  <c r="AA44" i="1"/>
  <c r="AB44" i="1"/>
  <c r="AC44" i="1"/>
  <c r="AD44" i="1"/>
  <c r="AE44" i="1"/>
  <c r="AF44" i="1"/>
  <c r="Y45" i="1"/>
  <c r="Z45" i="1"/>
  <c r="AA45" i="1"/>
  <c r="AB45" i="1"/>
  <c r="AC45" i="1"/>
  <c r="AD45" i="1"/>
  <c r="AE45" i="1"/>
  <c r="AF45" i="1"/>
  <c r="Y46" i="1"/>
  <c r="Z46" i="1"/>
  <c r="AA46" i="1"/>
  <c r="AB46" i="1"/>
  <c r="AC46" i="1"/>
  <c r="AD46" i="1"/>
  <c r="AE46" i="1"/>
  <c r="AF46" i="1"/>
  <c r="Y47" i="1"/>
  <c r="Z47" i="1"/>
  <c r="AA47" i="1"/>
  <c r="AB47" i="1"/>
  <c r="AC47" i="1"/>
  <c r="AD47" i="1"/>
  <c r="AE47" i="1"/>
  <c r="AF47" i="1"/>
  <c r="Y48" i="1"/>
  <c r="Z48" i="1"/>
  <c r="AA48" i="1"/>
  <c r="AB48" i="1"/>
  <c r="AC48" i="1"/>
  <c r="AD48" i="1"/>
  <c r="AE48" i="1"/>
  <c r="AF48" i="1"/>
  <c r="Y49" i="1"/>
  <c r="Z49" i="1"/>
  <c r="AA49" i="1"/>
  <c r="AB49" i="1"/>
  <c r="AC49" i="1"/>
  <c r="AD49" i="1"/>
  <c r="AE49" i="1"/>
  <c r="AF49" i="1"/>
  <c r="AE50" i="1"/>
  <c r="AF50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AN47" i="4" l="1"/>
  <c r="AK47" i="4"/>
  <c r="AM47" i="4"/>
  <c r="AJ47" i="4"/>
  <c r="AG47" i="4"/>
  <c r="AH47" i="4"/>
  <c r="AL47" i="4"/>
  <c r="AI47" i="4"/>
  <c r="AA51" i="1"/>
  <c r="X51" i="1"/>
</calcChain>
</file>

<file path=xl/sharedStrings.xml><?xml version="1.0" encoding="utf-8"?>
<sst xmlns="http://schemas.openxmlformats.org/spreadsheetml/2006/main" count="327" uniqueCount="69">
  <si>
    <t>Affiliation</t>
  </si>
  <si>
    <t>[1940,1949]</t>
  </si>
  <si>
    <t>[1950,1959]</t>
  </si>
  <si>
    <t>[1960,1969]</t>
  </si>
  <si>
    <t>[1970,1979]</t>
  </si>
  <si>
    <t>[1980,1989]</t>
  </si>
  <si>
    <t>[1990,1999]</t>
  </si>
  <si>
    <t>[2000,2010]</t>
  </si>
  <si>
    <t>Total papers</t>
  </si>
  <si>
    <t>Average Paper per decade</t>
  </si>
  <si>
    <t>Harvard University</t>
  </si>
  <si>
    <t>University Of Chicago</t>
  </si>
  <si>
    <t>Massachusetts Institute Of Technology</t>
  </si>
  <si>
    <t>Stanford University</t>
  </si>
  <si>
    <t>Princeton University</t>
  </si>
  <si>
    <t>Yale University</t>
  </si>
  <si>
    <t>University Of California, Berkeley</t>
  </si>
  <si>
    <t>Northwestern University</t>
  </si>
  <si>
    <t>University Of Pennsylvania</t>
  </si>
  <si>
    <t>Columbia University</t>
  </si>
  <si>
    <t>University Of Michigan</t>
  </si>
  <si>
    <t>University Of California, Los Angeles</t>
  </si>
  <si>
    <t>London School Of Economics &amp; Political Science</t>
  </si>
  <si>
    <t>University Of Wisconsin</t>
  </si>
  <si>
    <t>New York University</t>
  </si>
  <si>
    <t>Carnegie Mellon University</t>
  </si>
  <si>
    <t>University Of Minnesota</t>
  </si>
  <si>
    <t>Hebrew University Of Jerusalem</t>
  </si>
  <si>
    <t>University Of Oxford</t>
  </si>
  <si>
    <t>University Of Rochester</t>
  </si>
  <si>
    <t>Board Of Governors Of The Federal Reserve System</t>
  </si>
  <si>
    <t>Duke University</t>
  </si>
  <si>
    <t>Brown University</t>
  </si>
  <si>
    <t>University Of Virginia</t>
  </si>
  <si>
    <t>Cornell University</t>
  </si>
  <si>
    <t>University Of Maryland</t>
  </si>
  <si>
    <t>University Of Washington</t>
  </si>
  <si>
    <t>University Of Toronto</t>
  </si>
  <si>
    <t>University Of California, San Diego</t>
  </si>
  <si>
    <t>Rand Corporation</t>
  </si>
  <si>
    <t>University Of Western Ontario</t>
  </si>
  <si>
    <t>Michigan State University</t>
  </si>
  <si>
    <t>University Of British Columbia</t>
  </si>
  <si>
    <t>Ohio State University</t>
  </si>
  <si>
    <t>Johns Hopkins University</t>
  </si>
  <si>
    <t>Tel Aviv University</t>
  </si>
  <si>
    <t>Washington Dc (City)</t>
  </si>
  <si>
    <t>University Of California, Davis</t>
  </si>
  <si>
    <t>Brookings Institution</t>
  </si>
  <si>
    <t>University Of Cambridge</t>
  </si>
  <si>
    <t>Vanderbilt University</t>
  </si>
  <si>
    <t>University Of Illinois</t>
  </si>
  <si>
    <t>Boston University</t>
  </si>
  <si>
    <t>California Institute Of Technology</t>
  </si>
  <si>
    <t>Iowa State University</t>
  </si>
  <si>
    <t>International Monetary Fund (Imf)</t>
  </si>
  <si>
    <t>World Bank</t>
  </si>
  <si>
    <t>Australian National University</t>
  </si>
  <si>
    <t>Queen'S University</t>
  </si>
  <si>
    <t>Pennsylvania State University</t>
  </si>
  <si>
    <t>Federal Reserve Bank Of Minneapolis</t>
  </si>
  <si>
    <t>Texas A &amp; M University</t>
  </si>
  <si>
    <t>University College London</t>
  </si>
  <si>
    <t>Row Labels</t>
  </si>
  <si>
    <t>Grand Total</t>
  </si>
  <si>
    <t>Sum of Total papers</t>
  </si>
  <si>
    <t>(All)</t>
  </si>
  <si>
    <t>Average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</si>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</sst>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wrapText="1"/>
    </xf>
  </cellXfs>
  <cellStyles count="2">
    <cellStyle name="Normal" xfId="0" builtinId="0"/>
    <cellStyle name="Per cent" xfId="1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w Johnson" refreshedDate="45557.735744328704" createdVersion="8" refreshedVersion="8" minRefreshableVersion="3" recordCount="50" xr:uid="{ADA02041-5A4B-F242-B8BB-1D607B8414AE}">
  <cacheSource type="worksheet">
    <worksheetSource ref="A1:J51" sheet="Sheet1"/>
  </cacheSource>
  <cacheFields count="10">
    <cacheField name="Affiliation" numFmtId="0">
      <sharedItems count="50">
        <s v="Harvard University"/>
        <s v="University Of Chicago"/>
        <s v="Massachusetts Institute Of Technology"/>
        <s v="Stanford University"/>
        <s v="Princeton University"/>
        <s v="Yale University"/>
        <s v="University Of California, Berkeley"/>
        <s v="Northwestern University"/>
        <s v="University Of Pennsylvania"/>
        <s v="Columbia University"/>
        <s v="University Of Michigan"/>
        <s v="University Of California, Los Angeles"/>
        <s v="London School Of Economics &amp; Political Science"/>
        <s v="University Of Wisconsin"/>
        <s v="New York University"/>
        <s v="Carnegie Mellon University"/>
        <s v="University Of Minnesota"/>
        <s v="Hebrew University Of Jerusalem"/>
        <s v="University Of Oxford"/>
        <s v="University Of Rochester"/>
        <s v="Board Of Governors Of The Federal Reserve System"/>
        <s v="Duke University"/>
        <s v="Brown University"/>
        <s v="University Of Virginia"/>
        <s v="Cornell University"/>
        <s v="University Of Maryland"/>
        <s v="University Of Washington"/>
        <s v="University Of Toronto"/>
        <s v="University Of California, San Diego"/>
        <s v="Rand Corporation"/>
        <s v="University Of Western Ontario"/>
        <s v="Michigan State University"/>
        <s v="University Of British Columbia"/>
        <s v="Ohio State University"/>
        <s v="Johns Hopkins University"/>
        <s v="Tel Aviv University"/>
        <s v="Washington Dc (City)"/>
        <s v="University Of California, Davis"/>
        <s v="Brookings Institution"/>
        <s v="University Of Cambridge"/>
        <s v="Vanderbilt University"/>
        <s v="University Of Illinois"/>
        <s v="Boston University"/>
        <s v="California Institute Of Technology"/>
        <s v="Iowa State University"/>
        <s v="International Monetary Fund (Imf)"/>
        <s v="World Bank"/>
        <s v="Australian National University"/>
        <s v="Queen'S University"/>
        <s v="Pennsylvania State University"/>
      </sharedItems>
    </cacheField>
    <cacheField name="[1940,1949]" numFmtId="0">
      <sharedItems containsSemiMixedTypes="0" containsString="0" containsNumber="1" containsInteger="1" minValue="0" maxValue="125" count="25">
        <n v="125"/>
        <n v="104"/>
        <n v="36"/>
        <n v="22"/>
        <n v="38"/>
        <n v="40"/>
        <n v="18"/>
        <n v="12"/>
        <n v="20"/>
        <n v="52"/>
        <n v="23"/>
        <n v="4"/>
        <n v="13"/>
        <n v="9"/>
        <n v="19"/>
        <n v="0"/>
        <n v="1"/>
        <n v="21"/>
        <n v="26"/>
        <n v="10"/>
        <n v="5"/>
        <n v="3"/>
        <n v="16"/>
        <n v="96"/>
        <n v="7"/>
      </sharedItems>
    </cacheField>
    <cacheField name="[1950,1959]" numFmtId="0">
      <sharedItems containsSemiMixedTypes="0" containsString="0" containsNumber="1" containsInteger="1" minValue="0" maxValue="97" count="33">
        <n v="97"/>
        <n v="87"/>
        <n v="68"/>
        <n v="62"/>
        <n v="38"/>
        <n v="59"/>
        <n v="37"/>
        <n v="25"/>
        <n v="54"/>
        <n v="44"/>
        <n v="33"/>
        <n v="12"/>
        <n v="29"/>
        <n v="3"/>
        <n v="28"/>
        <n v="14"/>
        <n v="5"/>
        <n v="2"/>
        <n v="9"/>
        <n v="21"/>
        <n v="10"/>
        <n v="7"/>
        <n v="0"/>
        <n v="35"/>
        <n v="22"/>
        <n v="6"/>
        <n v="27"/>
        <n v="19"/>
        <n v="8"/>
        <n v="24"/>
        <n v="13"/>
        <n v="1"/>
        <n v="4"/>
      </sharedItems>
    </cacheField>
    <cacheField name="[1960,1969]" numFmtId="0">
      <sharedItems containsSemiMixedTypes="0" containsString="0" containsNumber="1" containsInteger="1" minValue="0" maxValue="136"/>
    </cacheField>
    <cacheField name="[1970,1979]" numFmtId="0">
      <sharedItems containsSemiMixedTypes="0" containsString="0" containsNumber="1" containsInteger="1" minValue="2" maxValue="201"/>
    </cacheField>
    <cacheField name="[1980,1989]" numFmtId="0">
      <sharedItems containsSemiMixedTypes="0" containsString="0" containsNumber="1" containsInteger="1" minValue="0" maxValue="168"/>
    </cacheField>
    <cacheField name="[1990,1999]" numFmtId="0">
      <sharedItems containsSemiMixedTypes="0" containsString="0" containsNumber="1" containsInteger="1" minValue="0" maxValue="193"/>
    </cacheField>
    <cacheField name="[2000,2010]" numFmtId="0">
      <sharedItems containsSemiMixedTypes="0" containsString="0" containsNumber="1" containsInteger="1" minValue="0" maxValue="222"/>
    </cacheField>
    <cacheField name="Total papers" numFmtId="0">
      <sharedItems containsSemiMixedTypes="0" containsString="0" containsNumber="1" containsInteger="1" minValue="84" maxValue="1124"/>
    </cacheField>
    <cacheField name="Average Paper per decade" numFmtId="0">
      <sharedItems containsSemiMixedTypes="0" containsString="0" containsNumber="1" containsInteger="1" minValue="21" maxValue="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w Johnson" refreshedDate="45557.73599710648" createdVersion="8" refreshedVersion="8" minRefreshableVersion="3" recordCount="50" xr:uid="{30AB0E20-C108-CC44-B862-7538C23DFDC7}">
  <cacheSource type="worksheet">
    <worksheetSource name="Table1"/>
  </cacheSource>
  <cacheFields count="10">
    <cacheField name="Affiliation" numFmtId="0">
      <sharedItems/>
    </cacheField>
    <cacheField name="[1940,1949]" numFmtId="0">
      <sharedItems containsSemiMixedTypes="0" containsString="0" containsNumber="1" containsInteger="1" minValue="0" maxValue="125"/>
    </cacheField>
    <cacheField name="[1950,1959]" numFmtId="0">
      <sharedItems containsSemiMixedTypes="0" containsString="0" containsNumber="1" containsInteger="1" minValue="0" maxValue="97"/>
    </cacheField>
    <cacheField name="[1960,1969]" numFmtId="0">
      <sharedItems containsSemiMixedTypes="0" containsString="0" containsNumber="1" containsInteger="1" minValue="0" maxValue="136"/>
    </cacheField>
    <cacheField name="[1970,1979]" numFmtId="0">
      <sharedItems containsSemiMixedTypes="0" containsString="0" containsNumber="1" containsInteger="1" minValue="2" maxValue="201"/>
    </cacheField>
    <cacheField name="[1980,1989]" numFmtId="0">
      <sharedItems containsSemiMixedTypes="0" containsString="0" containsNumber="1" containsInteger="1" minValue="0" maxValue="168"/>
    </cacheField>
    <cacheField name="[1990,1999]" numFmtId="0">
      <sharedItems containsSemiMixedTypes="0" containsString="0" containsNumber="1" containsInteger="1" minValue="0" maxValue="193"/>
    </cacheField>
    <cacheField name="[2000,2010]" numFmtId="0">
      <sharedItems containsSemiMixedTypes="0" containsString="0" containsNumber="1" containsInteger="1" minValue="0" maxValue="222"/>
    </cacheField>
    <cacheField name="Total papers" numFmtId="0">
      <sharedItems containsSemiMixedTypes="0" containsString="0" containsNumber="1" containsInteger="1" minValue="84" maxValue="1124"/>
    </cacheField>
    <cacheField name="Average Paper per decade" numFmtId="0">
      <sharedItems containsSemiMixedTypes="0" containsString="0" containsNumber="1" containsInteger="1" minValue="21" maxValue="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116"/>
    <n v="201"/>
    <n v="168"/>
    <n v="193"/>
    <n v="222"/>
    <n v="1124"/>
    <n v="281"/>
  </r>
  <r>
    <x v="1"/>
    <x v="1"/>
    <x v="1"/>
    <n v="136"/>
    <n v="148"/>
    <n v="125"/>
    <n v="146"/>
    <n v="174"/>
    <n v="922"/>
    <n v="230"/>
  </r>
  <r>
    <x v="2"/>
    <x v="2"/>
    <x v="2"/>
    <n v="108"/>
    <n v="110"/>
    <n v="159"/>
    <n v="151"/>
    <n v="145"/>
    <n v="778"/>
    <n v="194"/>
  </r>
  <r>
    <x v="3"/>
    <x v="3"/>
    <x v="3"/>
    <n v="73"/>
    <n v="111"/>
    <n v="132"/>
    <n v="111"/>
    <n v="148"/>
    <n v="661"/>
    <n v="165"/>
  </r>
  <r>
    <x v="4"/>
    <x v="4"/>
    <x v="4"/>
    <n v="65"/>
    <n v="84"/>
    <n v="141"/>
    <n v="100"/>
    <n v="124"/>
    <n v="594"/>
    <n v="148"/>
  </r>
  <r>
    <x v="5"/>
    <x v="5"/>
    <x v="5"/>
    <n v="99"/>
    <n v="111"/>
    <n v="109"/>
    <n v="86"/>
    <n v="86"/>
    <n v="593"/>
    <n v="148"/>
  </r>
  <r>
    <x v="6"/>
    <x v="6"/>
    <x v="6"/>
    <n v="78"/>
    <n v="74"/>
    <n v="91"/>
    <n v="78"/>
    <n v="133"/>
    <n v="512"/>
    <n v="128"/>
  </r>
  <r>
    <x v="7"/>
    <x v="7"/>
    <x v="6"/>
    <n v="42"/>
    <n v="79"/>
    <n v="96"/>
    <n v="111"/>
    <n v="119"/>
    <n v="499"/>
    <n v="124"/>
  </r>
  <r>
    <x v="8"/>
    <x v="8"/>
    <x v="7"/>
    <n v="66"/>
    <n v="75"/>
    <n v="113"/>
    <n v="83"/>
    <n v="88"/>
    <n v="472"/>
    <n v="118"/>
  </r>
  <r>
    <x v="9"/>
    <x v="9"/>
    <x v="8"/>
    <n v="48"/>
    <n v="70"/>
    <n v="66"/>
    <n v="73"/>
    <n v="88"/>
    <n v="454"/>
    <n v="113"/>
  </r>
  <r>
    <x v="10"/>
    <x v="10"/>
    <x v="9"/>
    <n v="49"/>
    <n v="62"/>
    <n v="61"/>
    <n v="57"/>
    <n v="54"/>
    <n v="353"/>
    <n v="88"/>
  </r>
  <r>
    <x v="11"/>
    <x v="7"/>
    <x v="10"/>
    <n v="41"/>
    <n v="64"/>
    <n v="64"/>
    <n v="58"/>
    <n v="64"/>
    <n v="339"/>
    <n v="84"/>
  </r>
  <r>
    <x v="12"/>
    <x v="11"/>
    <x v="11"/>
    <n v="28"/>
    <n v="84"/>
    <n v="88"/>
    <n v="40"/>
    <n v="68"/>
    <n v="326"/>
    <n v="81"/>
  </r>
  <r>
    <x v="13"/>
    <x v="12"/>
    <x v="12"/>
    <n v="56"/>
    <n v="89"/>
    <n v="53"/>
    <n v="34"/>
    <n v="42"/>
    <n v="319"/>
    <n v="79"/>
  </r>
  <r>
    <x v="14"/>
    <x v="3"/>
    <x v="13"/>
    <n v="8"/>
    <n v="35"/>
    <n v="45"/>
    <n v="36"/>
    <n v="91"/>
    <n v="242"/>
    <n v="60"/>
  </r>
  <r>
    <x v="15"/>
    <x v="13"/>
    <x v="14"/>
    <n v="55"/>
    <n v="43"/>
    <n v="47"/>
    <n v="27"/>
    <n v="23"/>
    <n v="236"/>
    <n v="59"/>
  </r>
  <r>
    <x v="16"/>
    <x v="14"/>
    <x v="15"/>
    <n v="36"/>
    <n v="51"/>
    <n v="49"/>
    <n v="29"/>
    <n v="29"/>
    <n v="230"/>
    <n v="57"/>
  </r>
  <r>
    <x v="17"/>
    <x v="15"/>
    <x v="16"/>
    <n v="36"/>
    <n v="86"/>
    <n v="40"/>
    <n v="18"/>
    <n v="21"/>
    <n v="209"/>
    <n v="59"/>
  </r>
  <r>
    <x v="18"/>
    <x v="10"/>
    <x v="9"/>
    <n v="24"/>
    <n v="23"/>
    <n v="30"/>
    <n v="23"/>
    <n v="32"/>
    <n v="202"/>
    <n v="50"/>
  </r>
  <r>
    <x v="19"/>
    <x v="16"/>
    <x v="17"/>
    <n v="27"/>
    <n v="56"/>
    <n v="37"/>
    <n v="43"/>
    <n v="20"/>
    <n v="187"/>
    <n v="46"/>
  </r>
  <r>
    <x v="20"/>
    <x v="17"/>
    <x v="11"/>
    <n v="19"/>
    <n v="42"/>
    <n v="20"/>
    <n v="42"/>
    <n v="29"/>
    <n v="187"/>
    <n v="46"/>
  </r>
  <r>
    <x v="21"/>
    <x v="18"/>
    <x v="14"/>
    <n v="15"/>
    <n v="21"/>
    <n v="32"/>
    <n v="29"/>
    <n v="32"/>
    <n v="185"/>
    <n v="46"/>
  </r>
  <r>
    <x v="22"/>
    <x v="3"/>
    <x v="18"/>
    <n v="28"/>
    <n v="38"/>
    <n v="24"/>
    <n v="21"/>
    <n v="39"/>
    <n v="183"/>
    <n v="45"/>
  </r>
  <r>
    <x v="23"/>
    <x v="8"/>
    <x v="19"/>
    <n v="27"/>
    <n v="43"/>
    <n v="36"/>
    <n v="19"/>
    <n v="15"/>
    <n v="183"/>
    <n v="45"/>
  </r>
  <r>
    <x v="24"/>
    <x v="19"/>
    <x v="11"/>
    <n v="32"/>
    <n v="42"/>
    <n v="32"/>
    <n v="27"/>
    <n v="22"/>
    <n v="180"/>
    <n v="45"/>
  </r>
  <r>
    <x v="25"/>
    <x v="20"/>
    <x v="20"/>
    <n v="7"/>
    <n v="33"/>
    <n v="37"/>
    <n v="26"/>
    <n v="42"/>
    <n v="162"/>
    <n v="40"/>
  </r>
  <r>
    <x v="26"/>
    <x v="13"/>
    <x v="19"/>
    <n v="33"/>
    <n v="47"/>
    <n v="28"/>
    <n v="18"/>
    <n v="3"/>
    <n v="161"/>
    <n v="40"/>
  </r>
  <r>
    <x v="27"/>
    <x v="21"/>
    <x v="21"/>
    <n v="6"/>
    <n v="33"/>
    <n v="33"/>
    <n v="31"/>
    <n v="37"/>
    <n v="152"/>
    <n v="38"/>
  </r>
  <r>
    <x v="28"/>
    <x v="15"/>
    <x v="22"/>
    <n v="5"/>
    <n v="30"/>
    <n v="42"/>
    <n v="40"/>
    <n v="33"/>
    <n v="151"/>
    <n v="50"/>
  </r>
  <r>
    <x v="29"/>
    <x v="15"/>
    <x v="23"/>
    <n v="42"/>
    <n v="36"/>
    <n v="13"/>
    <n v="6"/>
    <n v="7"/>
    <n v="141"/>
    <n v="40"/>
  </r>
  <r>
    <x v="30"/>
    <x v="15"/>
    <x v="22"/>
    <n v="14"/>
    <n v="30"/>
    <n v="63"/>
    <n v="21"/>
    <n v="10"/>
    <n v="140"/>
    <n v="46"/>
  </r>
  <r>
    <x v="31"/>
    <x v="16"/>
    <x v="24"/>
    <n v="44"/>
    <n v="24"/>
    <n v="26"/>
    <n v="14"/>
    <n v="6"/>
    <n v="138"/>
    <n v="34"/>
  </r>
  <r>
    <x v="32"/>
    <x v="15"/>
    <x v="17"/>
    <n v="6"/>
    <n v="49"/>
    <n v="34"/>
    <n v="18"/>
    <n v="24"/>
    <n v="135"/>
    <n v="38"/>
  </r>
  <r>
    <x v="33"/>
    <x v="22"/>
    <x v="25"/>
    <n v="9"/>
    <n v="31"/>
    <n v="31"/>
    <n v="17"/>
    <n v="22"/>
    <n v="135"/>
    <n v="33"/>
  </r>
  <r>
    <x v="34"/>
    <x v="12"/>
    <x v="26"/>
    <n v="25"/>
    <n v="24"/>
    <n v="14"/>
    <n v="14"/>
    <n v="14"/>
    <n v="134"/>
    <n v="33"/>
  </r>
  <r>
    <x v="35"/>
    <x v="15"/>
    <x v="22"/>
    <n v="0"/>
    <n v="42"/>
    <n v="45"/>
    <n v="26"/>
    <n v="18"/>
    <n v="132"/>
    <n v="53"/>
  </r>
  <r>
    <x v="36"/>
    <x v="23"/>
    <x v="27"/>
    <n v="7"/>
    <n v="2"/>
    <n v="0"/>
    <n v="0"/>
    <n v="0"/>
    <n v="125"/>
    <n v="50"/>
  </r>
  <r>
    <x v="37"/>
    <x v="21"/>
    <x v="27"/>
    <n v="15"/>
    <n v="21"/>
    <n v="21"/>
    <n v="28"/>
    <n v="15"/>
    <n v="124"/>
    <n v="31"/>
  </r>
  <r>
    <x v="38"/>
    <x v="22"/>
    <x v="28"/>
    <n v="19"/>
    <n v="28"/>
    <n v="26"/>
    <n v="8"/>
    <n v="11"/>
    <n v="119"/>
    <n v="29"/>
  </r>
  <r>
    <x v="39"/>
    <x v="20"/>
    <x v="15"/>
    <n v="24"/>
    <n v="38"/>
    <n v="12"/>
    <n v="10"/>
    <n v="8"/>
    <n v="112"/>
    <n v="28"/>
  </r>
  <r>
    <x v="40"/>
    <x v="24"/>
    <x v="29"/>
    <n v="18"/>
    <n v="12"/>
    <n v="16"/>
    <n v="13"/>
    <n v="13"/>
    <n v="104"/>
    <n v="26"/>
  </r>
  <r>
    <x v="41"/>
    <x v="6"/>
    <x v="19"/>
    <n v="20"/>
    <n v="21"/>
    <n v="12"/>
    <n v="4"/>
    <n v="5"/>
    <n v="103"/>
    <n v="25"/>
  </r>
  <r>
    <x v="42"/>
    <x v="15"/>
    <x v="22"/>
    <n v="1"/>
    <n v="5"/>
    <n v="22"/>
    <n v="40"/>
    <n v="29"/>
    <n v="98"/>
    <n v="32"/>
  </r>
  <r>
    <x v="43"/>
    <x v="15"/>
    <x v="17"/>
    <n v="0"/>
    <n v="20"/>
    <n v="33"/>
    <n v="17"/>
    <n v="21"/>
    <n v="94"/>
    <n v="31"/>
  </r>
  <r>
    <x v="44"/>
    <x v="2"/>
    <x v="15"/>
    <n v="15"/>
    <n v="12"/>
    <n v="7"/>
    <n v="4"/>
    <n v="3"/>
    <n v="94"/>
    <n v="23"/>
  </r>
  <r>
    <x v="45"/>
    <x v="24"/>
    <x v="30"/>
    <n v="7"/>
    <n v="13"/>
    <n v="9"/>
    <n v="19"/>
    <n v="22"/>
    <n v="93"/>
    <n v="23"/>
  </r>
  <r>
    <x v="46"/>
    <x v="15"/>
    <x v="22"/>
    <n v="0"/>
    <n v="9"/>
    <n v="28"/>
    <n v="27"/>
    <n v="23"/>
    <n v="88"/>
    <n v="35"/>
  </r>
  <r>
    <x v="47"/>
    <x v="15"/>
    <x v="31"/>
    <n v="12"/>
    <n v="38"/>
    <n v="24"/>
    <n v="9"/>
    <n v="2"/>
    <n v="88"/>
    <n v="25"/>
  </r>
  <r>
    <x v="48"/>
    <x v="15"/>
    <x v="17"/>
    <n v="5"/>
    <n v="31"/>
    <n v="31"/>
    <n v="12"/>
    <n v="3"/>
    <n v="87"/>
    <n v="24"/>
  </r>
  <r>
    <x v="49"/>
    <x v="16"/>
    <x v="32"/>
    <n v="2"/>
    <n v="32"/>
    <n v="10"/>
    <n v="15"/>
    <n v="17"/>
    <n v="84"/>
    <n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Harvard University"/>
    <n v="125"/>
    <n v="97"/>
    <n v="116"/>
    <n v="201"/>
    <n v="168"/>
    <n v="193"/>
    <n v="222"/>
    <n v="1124"/>
    <n v="281"/>
  </r>
  <r>
    <s v="University Of Chicago"/>
    <n v="104"/>
    <n v="87"/>
    <n v="136"/>
    <n v="148"/>
    <n v="125"/>
    <n v="146"/>
    <n v="174"/>
    <n v="922"/>
    <n v="230"/>
  </r>
  <r>
    <s v="Massachusetts Institute Of Technology"/>
    <n v="36"/>
    <n v="68"/>
    <n v="108"/>
    <n v="110"/>
    <n v="159"/>
    <n v="151"/>
    <n v="145"/>
    <n v="778"/>
    <n v="194"/>
  </r>
  <r>
    <s v="Stanford University"/>
    <n v="22"/>
    <n v="62"/>
    <n v="73"/>
    <n v="111"/>
    <n v="132"/>
    <n v="111"/>
    <n v="148"/>
    <n v="661"/>
    <n v="165"/>
  </r>
  <r>
    <s v="Princeton University"/>
    <n v="38"/>
    <n v="38"/>
    <n v="65"/>
    <n v="84"/>
    <n v="141"/>
    <n v="100"/>
    <n v="124"/>
    <n v="594"/>
    <n v="148"/>
  </r>
  <r>
    <s v="Yale University"/>
    <n v="40"/>
    <n v="59"/>
    <n v="99"/>
    <n v="111"/>
    <n v="109"/>
    <n v="86"/>
    <n v="86"/>
    <n v="593"/>
    <n v="148"/>
  </r>
  <r>
    <s v="University Of California, Berkeley"/>
    <n v="18"/>
    <n v="37"/>
    <n v="78"/>
    <n v="74"/>
    <n v="91"/>
    <n v="78"/>
    <n v="133"/>
    <n v="512"/>
    <n v="128"/>
  </r>
  <r>
    <s v="Northwestern University"/>
    <n v="12"/>
    <n v="37"/>
    <n v="42"/>
    <n v="79"/>
    <n v="96"/>
    <n v="111"/>
    <n v="119"/>
    <n v="499"/>
    <n v="124"/>
  </r>
  <r>
    <s v="University Of Pennsylvania"/>
    <n v="20"/>
    <n v="25"/>
    <n v="66"/>
    <n v="75"/>
    <n v="113"/>
    <n v="83"/>
    <n v="88"/>
    <n v="472"/>
    <n v="118"/>
  </r>
  <r>
    <s v="Columbia University"/>
    <n v="52"/>
    <n v="54"/>
    <n v="48"/>
    <n v="70"/>
    <n v="66"/>
    <n v="73"/>
    <n v="88"/>
    <n v="454"/>
    <n v="113"/>
  </r>
  <r>
    <s v="University Of Michigan"/>
    <n v="23"/>
    <n v="44"/>
    <n v="49"/>
    <n v="62"/>
    <n v="61"/>
    <n v="57"/>
    <n v="54"/>
    <n v="353"/>
    <n v="88"/>
  </r>
  <r>
    <s v="University Of California, Los Angeles"/>
    <n v="12"/>
    <n v="33"/>
    <n v="41"/>
    <n v="64"/>
    <n v="64"/>
    <n v="58"/>
    <n v="64"/>
    <n v="339"/>
    <n v="84"/>
  </r>
  <r>
    <s v="London School Of Economics &amp; Political Science"/>
    <n v="4"/>
    <n v="12"/>
    <n v="28"/>
    <n v="84"/>
    <n v="88"/>
    <n v="40"/>
    <n v="68"/>
    <n v="326"/>
    <n v="81"/>
  </r>
  <r>
    <s v="University Of Wisconsin"/>
    <n v="13"/>
    <n v="29"/>
    <n v="56"/>
    <n v="89"/>
    <n v="53"/>
    <n v="34"/>
    <n v="42"/>
    <n v="319"/>
    <n v="79"/>
  </r>
  <r>
    <s v="New York University"/>
    <n v="22"/>
    <n v="3"/>
    <n v="8"/>
    <n v="35"/>
    <n v="45"/>
    <n v="36"/>
    <n v="91"/>
    <n v="242"/>
    <n v="60"/>
  </r>
  <r>
    <s v="Carnegie Mellon University"/>
    <n v="9"/>
    <n v="28"/>
    <n v="55"/>
    <n v="43"/>
    <n v="47"/>
    <n v="27"/>
    <n v="23"/>
    <n v="236"/>
    <n v="59"/>
  </r>
  <r>
    <s v="University Of Minnesota"/>
    <n v="19"/>
    <n v="14"/>
    <n v="36"/>
    <n v="51"/>
    <n v="49"/>
    <n v="29"/>
    <n v="29"/>
    <n v="230"/>
    <n v="57"/>
  </r>
  <r>
    <s v="Hebrew University Of Jerusalem"/>
    <n v="0"/>
    <n v="5"/>
    <n v="36"/>
    <n v="86"/>
    <n v="40"/>
    <n v="18"/>
    <n v="21"/>
    <n v="209"/>
    <n v="59"/>
  </r>
  <r>
    <s v="University Of Oxford"/>
    <n v="23"/>
    <n v="44"/>
    <n v="24"/>
    <n v="23"/>
    <n v="30"/>
    <n v="23"/>
    <n v="32"/>
    <n v="202"/>
    <n v="50"/>
  </r>
  <r>
    <s v="University Of Rochester"/>
    <n v="1"/>
    <n v="2"/>
    <n v="27"/>
    <n v="56"/>
    <n v="37"/>
    <n v="43"/>
    <n v="20"/>
    <n v="187"/>
    <n v="46"/>
  </r>
  <r>
    <s v="Board Of Governors Of The Federal Reserve System"/>
    <n v="21"/>
    <n v="12"/>
    <n v="19"/>
    <n v="42"/>
    <n v="20"/>
    <n v="42"/>
    <n v="29"/>
    <n v="187"/>
    <n v="46"/>
  </r>
  <r>
    <s v="Duke University"/>
    <n v="26"/>
    <n v="28"/>
    <n v="15"/>
    <n v="21"/>
    <n v="32"/>
    <n v="29"/>
    <n v="32"/>
    <n v="185"/>
    <n v="46"/>
  </r>
  <r>
    <s v="Brown University"/>
    <n v="22"/>
    <n v="9"/>
    <n v="28"/>
    <n v="38"/>
    <n v="24"/>
    <n v="21"/>
    <n v="39"/>
    <n v="183"/>
    <n v="45"/>
  </r>
  <r>
    <s v="University Of Virginia"/>
    <n v="20"/>
    <n v="21"/>
    <n v="27"/>
    <n v="43"/>
    <n v="36"/>
    <n v="19"/>
    <n v="15"/>
    <n v="183"/>
    <n v="45"/>
  </r>
  <r>
    <s v="Cornell University"/>
    <n v="10"/>
    <n v="12"/>
    <n v="32"/>
    <n v="42"/>
    <n v="32"/>
    <n v="27"/>
    <n v="22"/>
    <n v="180"/>
    <n v="45"/>
  </r>
  <r>
    <s v="University Of Maryland"/>
    <n v="5"/>
    <n v="10"/>
    <n v="7"/>
    <n v="33"/>
    <n v="37"/>
    <n v="26"/>
    <n v="42"/>
    <n v="162"/>
    <n v="40"/>
  </r>
  <r>
    <s v="University Of Washington"/>
    <n v="9"/>
    <n v="21"/>
    <n v="33"/>
    <n v="47"/>
    <n v="28"/>
    <n v="18"/>
    <n v="3"/>
    <n v="161"/>
    <n v="40"/>
  </r>
  <r>
    <s v="University Of Toronto"/>
    <n v="3"/>
    <n v="7"/>
    <n v="6"/>
    <n v="33"/>
    <n v="33"/>
    <n v="31"/>
    <n v="37"/>
    <n v="152"/>
    <n v="38"/>
  </r>
  <r>
    <s v="University Of California, San Diego"/>
    <n v="0"/>
    <n v="0"/>
    <n v="5"/>
    <n v="30"/>
    <n v="42"/>
    <n v="40"/>
    <n v="33"/>
    <n v="151"/>
    <n v="50"/>
  </r>
  <r>
    <s v="Rand Corporation"/>
    <n v="0"/>
    <n v="35"/>
    <n v="42"/>
    <n v="36"/>
    <n v="13"/>
    <n v="6"/>
    <n v="7"/>
    <n v="141"/>
    <n v="40"/>
  </r>
  <r>
    <s v="University Of Western Ontario"/>
    <n v="0"/>
    <n v="0"/>
    <n v="14"/>
    <n v="30"/>
    <n v="63"/>
    <n v="21"/>
    <n v="10"/>
    <n v="140"/>
    <n v="46"/>
  </r>
  <r>
    <s v="Michigan State University"/>
    <n v="1"/>
    <n v="22"/>
    <n v="44"/>
    <n v="24"/>
    <n v="26"/>
    <n v="14"/>
    <n v="6"/>
    <n v="138"/>
    <n v="34"/>
  </r>
  <r>
    <s v="University Of British Columbia"/>
    <n v="0"/>
    <n v="2"/>
    <n v="6"/>
    <n v="49"/>
    <n v="34"/>
    <n v="18"/>
    <n v="24"/>
    <n v="135"/>
    <n v="38"/>
  </r>
  <r>
    <s v="Ohio State University"/>
    <n v="16"/>
    <n v="6"/>
    <n v="9"/>
    <n v="31"/>
    <n v="31"/>
    <n v="17"/>
    <n v="22"/>
    <n v="135"/>
    <n v="33"/>
  </r>
  <r>
    <s v="Johns Hopkins University"/>
    <n v="13"/>
    <n v="27"/>
    <n v="25"/>
    <n v="24"/>
    <n v="14"/>
    <n v="14"/>
    <n v="14"/>
    <n v="134"/>
    <n v="33"/>
  </r>
  <r>
    <s v="Tel Aviv University"/>
    <n v="0"/>
    <n v="0"/>
    <n v="0"/>
    <n v="42"/>
    <n v="45"/>
    <n v="26"/>
    <n v="18"/>
    <n v="132"/>
    <n v="53"/>
  </r>
  <r>
    <s v="Washington Dc (City)"/>
    <n v="96"/>
    <n v="19"/>
    <n v="7"/>
    <n v="2"/>
    <n v="0"/>
    <n v="0"/>
    <n v="0"/>
    <n v="125"/>
    <n v="50"/>
  </r>
  <r>
    <s v="University Of California, Davis"/>
    <n v="3"/>
    <n v="19"/>
    <n v="15"/>
    <n v="21"/>
    <n v="21"/>
    <n v="28"/>
    <n v="15"/>
    <n v="124"/>
    <n v="31"/>
  </r>
  <r>
    <s v="Brookings Institution"/>
    <n v="16"/>
    <n v="8"/>
    <n v="19"/>
    <n v="28"/>
    <n v="26"/>
    <n v="8"/>
    <n v="11"/>
    <n v="119"/>
    <n v="29"/>
  </r>
  <r>
    <s v="University Of Cambridge"/>
    <n v="5"/>
    <n v="14"/>
    <n v="24"/>
    <n v="38"/>
    <n v="12"/>
    <n v="10"/>
    <n v="8"/>
    <n v="112"/>
    <n v="28"/>
  </r>
  <r>
    <s v="Vanderbilt University"/>
    <n v="7"/>
    <n v="24"/>
    <n v="18"/>
    <n v="12"/>
    <n v="16"/>
    <n v="13"/>
    <n v="13"/>
    <n v="104"/>
    <n v="26"/>
  </r>
  <r>
    <s v="University Of Illinois"/>
    <n v="18"/>
    <n v="21"/>
    <n v="20"/>
    <n v="21"/>
    <n v="12"/>
    <n v="4"/>
    <n v="5"/>
    <n v="103"/>
    <n v="25"/>
  </r>
  <r>
    <s v="Boston University"/>
    <n v="0"/>
    <n v="0"/>
    <n v="1"/>
    <n v="5"/>
    <n v="22"/>
    <n v="40"/>
    <n v="29"/>
    <n v="98"/>
    <n v="32"/>
  </r>
  <r>
    <s v="California Institute Of Technology"/>
    <n v="0"/>
    <n v="2"/>
    <n v="0"/>
    <n v="20"/>
    <n v="33"/>
    <n v="17"/>
    <n v="21"/>
    <n v="94"/>
    <n v="31"/>
  </r>
  <r>
    <s v="Iowa State University"/>
    <n v="36"/>
    <n v="14"/>
    <n v="15"/>
    <n v="12"/>
    <n v="7"/>
    <n v="4"/>
    <n v="3"/>
    <n v="94"/>
    <n v="23"/>
  </r>
  <r>
    <s v="International Monetary Fund (Imf)"/>
    <n v="7"/>
    <n v="13"/>
    <n v="7"/>
    <n v="13"/>
    <n v="9"/>
    <n v="19"/>
    <n v="22"/>
    <n v="93"/>
    <n v="23"/>
  </r>
  <r>
    <s v="World Bank"/>
    <n v="0"/>
    <n v="0"/>
    <n v="0"/>
    <n v="9"/>
    <n v="28"/>
    <n v="27"/>
    <n v="23"/>
    <n v="88"/>
    <n v="35"/>
  </r>
  <r>
    <s v="Australian National University"/>
    <n v="0"/>
    <n v="1"/>
    <n v="12"/>
    <n v="38"/>
    <n v="24"/>
    <n v="9"/>
    <n v="2"/>
    <n v="88"/>
    <n v="25"/>
  </r>
  <r>
    <s v="Queen'S University"/>
    <n v="0"/>
    <n v="2"/>
    <n v="5"/>
    <n v="31"/>
    <n v="31"/>
    <n v="12"/>
    <n v="3"/>
    <n v="87"/>
    <n v="24"/>
  </r>
  <r>
    <s v="Pennsylvania State University"/>
    <n v="1"/>
    <n v="4"/>
    <n v="2"/>
    <n v="32"/>
    <n v="10"/>
    <n v="15"/>
    <n v="17"/>
    <n v="84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F4B0D-F417-3E45-A5A9-1F05257097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 rowPageCount="1" colPageCount="1"/>
  <pivotFields count="10">
    <pivotField axis="axisRow" showAll="0">
      <items count="51">
        <item x="47"/>
        <item x="20"/>
        <item x="42"/>
        <item x="38"/>
        <item x="22"/>
        <item x="43"/>
        <item x="15"/>
        <item x="9"/>
        <item x="24"/>
        <item x="21"/>
        <item x="0"/>
        <item x="17"/>
        <item x="45"/>
        <item x="44"/>
        <item x="34"/>
        <item x="12"/>
        <item x="2"/>
        <item x="31"/>
        <item x="14"/>
        <item x="7"/>
        <item x="33"/>
        <item x="49"/>
        <item x="4"/>
        <item x="48"/>
        <item x="29"/>
        <item x="3"/>
        <item x="35"/>
        <item x="32"/>
        <item x="6"/>
        <item x="37"/>
        <item x="11"/>
        <item x="28"/>
        <item x="39"/>
        <item x="1"/>
        <item x="41"/>
        <item x="25"/>
        <item x="10"/>
        <item x="16"/>
        <item x="18"/>
        <item x="8"/>
        <item x="19"/>
        <item x="27"/>
        <item x="23"/>
        <item x="26"/>
        <item x="30"/>
        <item x="13"/>
        <item x="40"/>
        <item x="36"/>
        <item x="46"/>
        <item x="5"/>
        <item t="default"/>
      </items>
    </pivotField>
    <pivotField axis="axisPage" showAll="0">
      <items count="26">
        <item x="15"/>
        <item x="16"/>
        <item x="21"/>
        <item x="11"/>
        <item x="20"/>
        <item x="24"/>
        <item x="13"/>
        <item x="19"/>
        <item x="7"/>
        <item x="12"/>
        <item x="22"/>
        <item x="6"/>
        <item x="14"/>
        <item x="8"/>
        <item x="17"/>
        <item x="3"/>
        <item x="10"/>
        <item x="18"/>
        <item x="2"/>
        <item x="4"/>
        <item x="5"/>
        <item x="9"/>
        <item x="23"/>
        <item x="1"/>
        <item x="0"/>
        <item t="default"/>
      </items>
    </pivotField>
    <pivotField showAll="0">
      <items count="34">
        <item x="22"/>
        <item x="31"/>
        <item x="17"/>
        <item x="13"/>
        <item x="32"/>
        <item x="16"/>
        <item x="25"/>
        <item x="21"/>
        <item x="28"/>
        <item x="18"/>
        <item x="20"/>
        <item x="11"/>
        <item x="30"/>
        <item x="15"/>
        <item x="27"/>
        <item x="19"/>
        <item x="24"/>
        <item x="29"/>
        <item x="7"/>
        <item x="26"/>
        <item x="14"/>
        <item x="12"/>
        <item x="10"/>
        <item x="23"/>
        <item x="6"/>
        <item x="4"/>
        <item x="9"/>
        <item x="8"/>
        <item x="5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pageFields count="1">
    <pageField fld="1" hier="-1"/>
  </pageFields>
  <dataFields count="1">
    <dataField name="Sum of Total paper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91437-1E32-F448-BE6D-F1CD6198784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E01D4-8E48-864B-8F5F-FE820797BCBE}" name="Table1" displayName="Table1" ref="A1:J51" totalsRowShown="0" headerRowDxfId="7" headerRowBorderDxfId="6" tableBorderDxfId="5">
  <autoFilter ref="A1:J51" xr:uid="{5D3E01D4-8E48-864B-8F5F-FE820797BCBE}"/>
  <tableColumns count="10">
    <tableColumn id="1" xr3:uid="{34B1505F-116C-D54E-A206-AA3ECF081732}" name="Affiliation" dataDxfId="4"/>
    <tableColumn id="2" xr3:uid="{53E5A0ED-3BAE-6A42-A27A-82E75F0A74E1}" name="[1940,1949]"/>
    <tableColumn id="3" xr3:uid="{5E55EAFF-26C3-5143-8860-E86FC185EA63}" name="[1950,1959]"/>
    <tableColumn id="4" xr3:uid="{7190A41C-8810-0743-86A1-C78A9FB58234}" name="[1960,1969]"/>
    <tableColumn id="5" xr3:uid="{B947B367-500F-4C41-B280-D9A95D3A2C4B}" name="[1970,1979]"/>
    <tableColumn id="6" xr3:uid="{DA244031-012E-5D40-8442-03D66F98286B}" name="[1980,1989]"/>
    <tableColumn id="7" xr3:uid="{327E20D1-0C2B-5245-A86C-14E5EE8B0813}" name="[1990,1999]"/>
    <tableColumn id="8" xr3:uid="{7C69DBA0-B835-F145-9084-E24B89C3F5A4}" name="[2000,2010]"/>
    <tableColumn id="9" xr3:uid="{17865FDF-F059-7F41-BE79-2C61EA595CEF}" name="Total papers"/>
    <tableColumn id="10" xr3:uid="{7BE24C19-A9AE-2A44-9E35-6319C71CF369}" name="Average Paper per dec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54F1C-AFEA-274A-A4EB-5D7DBF63DE68}" name="Table13" displayName="Table13" ref="A1:J51" totalsRowShown="0" headerRowDxfId="3" headerRowBorderDxfId="2" tableBorderDxfId="1">
  <autoFilter ref="A1:J51" xr:uid="{AFF54F1C-AFEA-274A-A4EB-5D7DBF63DE68}"/>
  <tableColumns count="10">
    <tableColumn id="1" xr3:uid="{B990F62A-F4C4-1F4C-B25E-BF0AE596DB5D}" name="Affiliation" dataDxfId="0"/>
    <tableColumn id="2" xr3:uid="{41A6DB0D-05BC-3B4C-9660-43B708694412}" name="[1940,1949]"/>
    <tableColumn id="3" xr3:uid="{F380D896-389B-1843-9587-0AF394562EBA}" name="[1950,1959]"/>
    <tableColumn id="4" xr3:uid="{5FE76BAC-D965-EB4F-83A7-8800D4256CF7}" name="[1960,1969]"/>
    <tableColumn id="5" xr3:uid="{D6B13FD2-DC18-8F40-A4D5-779D2D175D72}" name="[1970,1979]"/>
    <tableColumn id="6" xr3:uid="{D55ED1B8-F78D-C542-97AF-1714B9DD8C72}" name="[1980,1989]"/>
    <tableColumn id="7" xr3:uid="{C6411211-B001-DD4A-961F-59A9419FC178}" name="[1990,1999]"/>
    <tableColumn id="8" xr3:uid="{F1748630-B91D-3F44-8705-9A39B23453B1}" name="[2000,2010]"/>
    <tableColumn id="9" xr3:uid="{96D87933-E71A-8E4B-AAD5-02731C0A14DB}" name="Total papers"/>
    <tableColumn id="10" xr3:uid="{6CA3C6CE-6B24-9549-83DE-AFC43FCCF73E}" name="Average Paper per deca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4FD7-77CB-BF46-BFF3-A89008A59B4A}">
  <dimension ref="A1:B54"/>
  <sheetViews>
    <sheetView workbookViewId="0">
      <selection activeCell="B13" sqref="B13"/>
    </sheetView>
  </sheetViews>
  <sheetFormatPr baseColWidth="10" defaultRowHeight="15" x14ac:dyDescent="0.2"/>
  <cols>
    <col min="1" max="1" width="39.1640625" bestFit="1" customWidth="1"/>
    <col min="2" max="2" width="16" bestFit="1" customWidth="1"/>
    <col min="3" max="16" width="4.1640625" bestFit="1" customWidth="1"/>
    <col min="17" max="17" width="5.1640625" bestFit="1" customWidth="1"/>
    <col min="18" max="25" width="4.1640625" bestFit="1" customWidth="1"/>
    <col min="26" max="26" width="5.1640625" bestFit="1" customWidth="1"/>
    <col min="27" max="27" width="10" bestFit="1" customWidth="1"/>
    <col min="28" max="33" width="4.1640625" bestFit="1" customWidth="1"/>
    <col min="34" max="34" width="5.1640625" bestFit="1" customWidth="1"/>
    <col min="35" max="35" width="10" bestFit="1" customWidth="1"/>
    <col min="36" max="36" width="7.33203125" bestFit="1" customWidth="1"/>
    <col min="37" max="37" width="4.83203125" bestFit="1" customWidth="1"/>
    <col min="38" max="38" width="4.1640625" bestFit="1" customWidth="1"/>
    <col min="39" max="39" width="7.33203125" bestFit="1" customWidth="1"/>
    <col min="40" max="40" width="4.83203125" bestFit="1" customWidth="1"/>
    <col min="41" max="41" width="7.33203125" bestFit="1" customWidth="1"/>
    <col min="42" max="42" width="4.83203125" bestFit="1" customWidth="1"/>
    <col min="43" max="43" width="4.1640625" bestFit="1" customWidth="1"/>
    <col min="44" max="44" width="7.33203125" bestFit="1" customWidth="1"/>
    <col min="45" max="45" width="4.83203125" bestFit="1" customWidth="1"/>
    <col min="46" max="46" width="7.33203125" bestFit="1" customWidth="1"/>
    <col min="47" max="47" width="4.83203125" bestFit="1" customWidth="1"/>
    <col min="48" max="49" width="4.1640625" bestFit="1" customWidth="1"/>
    <col min="50" max="50" width="7.33203125" bestFit="1" customWidth="1"/>
    <col min="51" max="51" width="4.83203125" bestFit="1" customWidth="1"/>
    <col min="52" max="52" width="7.33203125" bestFit="1" customWidth="1"/>
    <col min="53" max="53" width="4.83203125" bestFit="1" customWidth="1"/>
    <col min="54" max="54" width="7.33203125" bestFit="1" customWidth="1"/>
    <col min="55" max="55" width="4.83203125" bestFit="1" customWidth="1"/>
    <col min="56" max="56" width="4.1640625" bestFit="1" customWidth="1"/>
    <col min="57" max="57" width="7.33203125" bestFit="1" customWidth="1"/>
    <col min="58" max="58" width="4.83203125" bestFit="1" customWidth="1"/>
    <col min="59" max="59" width="7.33203125" bestFit="1" customWidth="1"/>
    <col min="60" max="60" width="4.83203125" bestFit="1" customWidth="1"/>
    <col min="61" max="61" width="7.33203125" bestFit="1" customWidth="1"/>
    <col min="62" max="62" width="4.83203125" bestFit="1" customWidth="1"/>
    <col min="63" max="63" width="7.33203125" bestFit="1" customWidth="1"/>
    <col min="64" max="64" width="4.83203125" bestFit="1" customWidth="1"/>
    <col min="65" max="65" width="7.33203125" bestFit="1" customWidth="1"/>
    <col min="66" max="66" width="5.83203125" bestFit="1" customWidth="1"/>
    <col min="67" max="67" width="8.33203125" bestFit="1" customWidth="1"/>
    <col min="68" max="68" width="5.83203125" bestFit="1" customWidth="1"/>
    <col min="69" max="69" width="8.33203125" bestFit="1" customWidth="1"/>
    <col min="70" max="70" width="10" bestFit="1" customWidth="1"/>
  </cols>
  <sheetData>
    <row r="1" spans="1:2" x14ac:dyDescent="0.2">
      <c r="A1" s="14" t="s">
        <v>1</v>
      </c>
      <c r="B1" t="s">
        <v>66</v>
      </c>
    </row>
    <row r="3" spans="1:2" x14ac:dyDescent="0.2">
      <c r="A3" s="14" t="s">
        <v>63</v>
      </c>
      <c r="B3" t="s">
        <v>65</v>
      </c>
    </row>
    <row r="4" spans="1:2" x14ac:dyDescent="0.2">
      <c r="A4" s="15" t="s">
        <v>57</v>
      </c>
      <c r="B4">
        <v>88</v>
      </c>
    </row>
    <row r="5" spans="1:2" x14ac:dyDescent="0.2">
      <c r="A5" s="15" t="s">
        <v>30</v>
      </c>
      <c r="B5">
        <v>187</v>
      </c>
    </row>
    <row r="6" spans="1:2" x14ac:dyDescent="0.2">
      <c r="A6" s="15" t="s">
        <v>52</v>
      </c>
      <c r="B6">
        <v>98</v>
      </c>
    </row>
    <row r="7" spans="1:2" x14ac:dyDescent="0.2">
      <c r="A7" s="15" t="s">
        <v>48</v>
      </c>
      <c r="B7">
        <v>119</v>
      </c>
    </row>
    <row r="8" spans="1:2" x14ac:dyDescent="0.2">
      <c r="A8" s="15" t="s">
        <v>32</v>
      </c>
      <c r="B8">
        <v>183</v>
      </c>
    </row>
    <row r="9" spans="1:2" x14ac:dyDescent="0.2">
      <c r="A9" s="15" t="s">
        <v>53</v>
      </c>
      <c r="B9">
        <v>94</v>
      </c>
    </row>
    <row r="10" spans="1:2" x14ac:dyDescent="0.2">
      <c r="A10" s="15" t="s">
        <v>25</v>
      </c>
      <c r="B10">
        <v>236</v>
      </c>
    </row>
    <row r="11" spans="1:2" x14ac:dyDescent="0.2">
      <c r="A11" s="15" t="s">
        <v>19</v>
      </c>
      <c r="B11">
        <v>454</v>
      </c>
    </row>
    <row r="12" spans="1:2" x14ac:dyDescent="0.2">
      <c r="A12" s="15" t="s">
        <v>34</v>
      </c>
      <c r="B12">
        <v>180</v>
      </c>
    </row>
    <row r="13" spans="1:2" x14ac:dyDescent="0.2">
      <c r="A13" s="15" t="s">
        <v>31</v>
      </c>
      <c r="B13">
        <v>185</v>
      </c>
    </row>
    <row r="14" spans="1:2" x14ac:dyDescent="0.2">
      <c r="A14" s="15" t="s">
        <v>10</v>
      </c>
      <c r="B14">
        <v>1124</v>
      </c>
    </row>
    <row r="15" spans="1:2" x14ac:dyDescent="0.2">
      <c r="A15" s="15" t="s">
        <v>27</v>
      </c>
      <c r="B15">
        <v>209</v>
      </c>
    </row>
    <row r="16" spans="1:2" x14ac:dyDescent="0.2">
      <c r="A16" s="15" t="s">
        <v>55</v>
      </c>
      <c r="B16">
        <v>93</v>
      </c>
    </row>
    <row r="17" spans="1:2" x14ac:dyDescent="0.2">
      <c r="A17" s="15" t="s">
        <v>54</v>
      </c>
      <c r="B17">
        <v>94</v>
      </c>
    </row>
    <row r="18" spans="1:2" x14ac:dyDescent="0.2">
      <c r="A18" s="15" t="s">
        <v>44</v>
      </c>
      <c r="B18">
        <v>134</v>
      </c>
    </row>
    <row r="19" spans="1:2" x14ac:dyDescent="0.2">
      <c r="A19" s="15" t="s">
        <v>22</v>
      </c>
      <c r="B19">
        <v>326</v>
      </c>
    </row>
    <row r="20" spans="1:2" x14ac:dyDescent="0.2">
      <c r="A20" s="15" t="s">
        <v>12</v>
      </c>
      <c r="B20">
        <v>778</v>
      </c>
    </row>
    <row r="21" spans="1:2" x14ac:dyDescent="0.2">
      <c r="A21" s="15" t="s">
        <v>41</v>
      </c>
      <c r="B21">
        <v>138</v>
      </c>
    </row>
    <row r="22" spans="1:2" x14ac:dyDescent="0.2">
      <c r="A22" s="15" t="s">
        <v>24</v>
      </c>
      <c r="B22">
        <v>242</v>
      </c>
    </row>
    <row r="23" spans="1:2" x14ac:dyDescent="0.2">
      <c r="A23" s="15" t="s">
        <v>17</v>
      </c>
      <c r="B23">
        <v>499</v>
      </c>
    </row>
    <row r="24" spans="1:2" x14ac:dyDescent="0.2">
      <c r="A24" s="15" t="s">
        <v>43</v>
      </c>
      <c r="B24">
        <v>135</v>
      </c>
    </row>
    <row r="25" spans="1:2" x14ac:dyDescent="0.2">
      <c r="A25" s="15" t="s">
        <v>59</v>
      </c>
      <c r="B25">
        <v>84</v>
      </c>
    </row>
    <row r="26" spans="1:2" x14ac:dyDescent="0.2">
      <c r="A26" s="15" t="s">
        <v>14</v>
      </c>
      <c r="B26">
        <v>594</v>
      </c>
    </row>
    <row r="27" spans="1:2" x14ac:dyDescent="0.2">
      <c r="A27" s="15" t="s">
        <v>58</v>
      </c>
      <c r="B27">
        <v>87</v>
      </c>
    </row>
    <row r="28" spans="1:2" x14ac:dyDescent="0.2">
      <c r="A28" s="15" t="s">
        <v>39</v>
      </c>
      <c r="B28">
        <v>141</v>
      </c>
    </row>
    <row r="29" spans="1:2" x14ac:dyDescent="0.2">
      <c r="A29" s="15" t="s">
        <v>13</v>
      </c>
      <c r="B29">
        <v>661</v>
      </c>
    </row>
    <row r="30" spans="1:2" x14ac:dyDescent="0.2">
      <c r="A30" s="15" t="s">
        <v>45</v>
      </c>
      <c r="B30">
        <v>132</v>
      </c>
    </row>
    <row r="31" spans="1:2" x14ac:dyDescent="0.2">
      <c r="A31" s="15" t="s">
        <v>42</v>
      </c>
      <c r="B31">
        <v>135</v>
      </c>
    </row>
    <row r="32" spans="1:2" x14ac:dyDescent="0.2">
      <c r="A32" s="15" t="s">
        <v>16</v>
      </c>
      <c r="B32">
        <v>512</v>
      </c>
    </row>
    <row r="33" spans="1:2" x14ac:dyDescent="0.2">
      <c r="A33" s="15" t="s">
        <v>47</v>
      </c>
      <c r="B33">
        <v>124</v>
      </c>
    </row>
    <row r="34" spans="1:2" x14ac:dyDescent="0.2">
      <c r="A34" s="15" t="s">
        <v>21</v>
      </c>
      <c r="B34">
        <v>339</v>
      </c>
    </row>
    <row r="35" spans="1:2" x14ac:dyDescent="0.2">
      <c r="A35" s="15" t="s">
        <v>38</v>
      </c>
      <c r="B35">
        <v>151</v>
      </c>
    </row>
    <row r="36" spans="1:2" x14ac:dyDescent="0.2">
      <c r="A36" s="15" t="s">
        <v>49</v>
      </c>
      <c r="B36">
        <v>112</v>
      </c>
    </row>
    <row r="37" spans="1:2" x14ac:dyDescent="0.2">
      <c r="A37" s="15" t="s">
        <v>11</v>
      </c>
      <c r="B37">
        <v>922</v>
      </c>
    </row>
    <row r="38" spans="1:2" x14ac:dyDescent="0.2">
      <c r="A38" s="15" t="s">
        <v>51</v>
      </c>
      <c r="B38">
        <v>103</v>
      </c>
    </row>
    <row r="39" spans="1:2" x14ac:dyDescent="0.2">
      <c r="A39" s="15" t="s">
        <v>35</v>
      </c>
      <c r="B39">
        <v>162</v>
      </c>
    </row>
    <row r="40" spans="1:2" x14ac:dyDescent="0.2">
      <c r="A40" s="15" t="s">
        <v>20</v>
      </c>
      <c r="B40">
        <v>353</v>
      </c>
    </row>
    <row r="41" spans="1:2" x14ac:dyDescent="0.2">
      <c r="A41" s="15" t="s">
        <v>26</v>
      </c>
      <c r="B41">
        <v>230</v>
      </c>
    </row>
    <row r="42" spans="1:2" x14ac:dyDescent="0.2">
      <c r="A42" s="15" t="s">
        <v>28</v>
      </c>
      <c r="B42">
        <v>202</v>
      </c>
    </row>
    <row r="43" spans="1:2" x14ac:dyDescent="0.2">
      <c r="A43" s="15" t="s">
        <v>18</v>
      </c>
      <c r="B43">
        <v>472</v>
      </c>
    </row>
    <row r="44" spans="1:2" x14ac:dyDescent="0.2">
      <c r="A44" s="15" t="s">
        <v>29</v>
      </c>
      <c r="B44">
        <v>187</v>
      </c>
    </row>
    <row r="45" spans="1:2" x14ac:dyDescent="0.2">
      <c r="A45" s="15" t="s">
        <v>37</v>
      </c>
      <c r="B45">
        <v>152</v>
      </c>
    </row>
    <row r="46" spans="1:2" x14ac:dyDescent="0.2">
      <c r="A46" s="15" t="s">
        <v>33</v>
      </c>
      <c r="B46">
        <v>183</v>
      </c>
    </row>
    <row r="47" spans="1:2" x14ac:dyDescent="0.2">
      <c r="A47" s="15" t="s">
        <v>36</v>
      </c>
      <c r="B47">
        <v>161</v>
      </c>
    </row>
    <row r="48" spans="1:2" x14ac:dyDescent="0.2">
      <c r="A48" s="15" t="s">
        <v>40</v>
      </c>
      <c r="B48">
        <v>140</v>
      </c>
    </row>
    <row r="49" spans="1:2" x14ac:dyDescent="0.2">
      <c r="A49" s="15" t="s">
        <v>23</v>
      </c>
      <c r="B49">
        <v>319</v>
      </c>
    </row>
    <row r="50" spans="1:2" x14ac:dyDescent="0.2">
      <c r="A50" s="15" t="s">
        <v>50</v>
      </c>
      <c r="B50">
        <v>104</v>
      </c>
    </row>
    <row r="51" spans="1:2" x14ac:dyDescent="0.2">
      <c r="A51" s="15" t="s">
        <v>46</v>
      </c>
      <c r="B51">
        <v>125</v>
      </c>
    </row>
    <row r="52" spans="1:2" x14ac:dyDescent="0.2">
      <c r="A52" s="15" t="s">
        <v>56</v>
      </c>
      <c r="B52">
        <v>88</v>
      </c>
    </row>
    <row r="53" spans="1:2" x14ac:dyDescent="0.2">
      <c r="A53" s="15" t="s">
        <v>15</v>
      </c>
      <c r="B53">
        <v>593</v>
      </c>
    </row>
    <row r="54" spans="1:2" x14ac:dyDescent="0.2">
      <c r="A54" s="15" t="s">
        <v>64</v>
      </c>
      <c r="B54">
        <v>13164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120A-907F-D54D-9644-4B81DA095687}">
  <dimension ref="A3:C20"/>
  <sheetViews>
    <sheetView workbookViewId="0">
      <selection activeCell="A3" sqref="A3"/>
    </sheetView>
  </sheetViews>
  <sheetFormatPr baseColWidth="10" defaultRowHeight="15" x14ac:dyDescent="0.2"/>
  <sheetData>
    <row r="3" spans="1:3" x14ac:dyDescent="0.2">
      <c r="A3" s="2"/>
      <c r="B3" s="3"/>
      <c r="C3" s="4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5"/>
      <c r="B18" s="6"/>
      <c r="C18" s="7"/>
    </row>
    <row r="19" spans="1:3" x14ac:dyDescent="0.2">
      <c r="A19" s="5"/>
      <c r="B19" s="6"/>
      <c r="C19" s="7"/>
    </row>
    <row r="20" spans="1:3" x14ac:dyDescent="0.2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"/>
  <sheetViews>
    <sheetView workbookViewId="0">
      <selection activeCell="D52" sqref="A1:XFD1048576"/>
    </sheetView>
  </sheetViews>
  <sheetFormatPr baseColWidth="10" defaultColWidth="8.83203125" defaultRowHeight="15" x14ac:dyDescent="0.2"/>
  <cols>
    <col min="1" max="1" width="25.5" customWidth="1"/>
    <col min="2" max="8" width="13.33203125" customWidth="1"/>
    <col min="9" max="9" width="12.83203125" customWidth="1"/>
    <col min="10" max="10" width="23.6640625" customWidth="1"/>
    <col min="12" max="12" width="40.5" bestFit="1" customWidth="1"/>
  </cols>
  <sheetData>
    <row r="1" spans="1:32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</row>
    <row r="2" spans="1:32" x14ac:dyDescent="0.2">
      <c r="A2" s="11" t="s">
        <v>10</v>
      </c>
      <c r="B2">
        <v>125</v>
      </c>
      <c r="C2">
        <v>97</v>
      </c>
      <c r="D2">
        <v>116</v>
      </c>
      <c r="E2">
        <v>201</v>
      </c>
      <c r="F2">
        <v>168</v>
      </c>
      <c r="G2">
        <v>193</v>
      </c>
      <c r="H2">
        <v>222</v>
      </c>
      <c r="I2">
        <v>1124</v>
      </c>
      <c r="J2">
        <v>281</v>
      </c>
      <c r="L2" s="1" t="s">
        <v>10</v>
      </c>
      <c r="M2">
        <v>145</v>
      </c>
      <c r="N2">
        <v>110</v>
      </c>
      <c r="O2">
        <v>141</v>
      </c>
      <c r="P2">
        <v>273</v>
      </c>
      <c r="Q2">
        <v>275</v>
      </c>
      <c r="R2">
        <v>397</v>
      </c>
      <c r="S2">
        <v>517</v>
      </c>
      <c r="T2">
        <v>1858</v>
      </c>
      <c r="U2">
        <v>464</v>
      </c>
      <c r="X2">
        <f>Table1[[#This Row],['[1940,1949']]]/M2</f>
        <v>0.86206896551724133</v>
      </c>
      <c r="Y2">
        <f>Table1[[#This Row],['[1950,1959']]]/N2</f>
        <v>0.88181818181818183</v>
      </c>
      <c r="Z2">
        <f>Table1[[#This Row],['[1960,1969']]]/O2</f>
        <v>0.82269503546099287</v>
      </c>
      <c r="AA2">
        <f>Table1[[#This Row],['[1970,1979']]]/P2</f>
        <v>0.73626373626373631</v>
      </c>
      <c r="AB2">
        <f>Table1[[#This Row],['[1980,1989']]]/Q2</f>
        <v>0.61090909090909096</v>
      </c>
      <c r="AC2">
        <f>Table1[[#This Row],['[1990,1999']]]/R2</f>
        <v>0.48614609571788414</v>
      </c>
      <c r="AD2">
        <f>Table1[[#This Row],['[2000,2010']]]/S2</f>
        <v>0.42940038684719534</v>
      </c>
      <c r="AE2">
        <f>Table1[[#This Row],[Total papers]]/T2</f>
        <v>0.60495156081808399</v>
      </c>
      <c r="AF2">
        <f>Table1[[#This Row],[Average Paper per decade]]/U2</f>
        <v>0.6056034482758621</v>
      </c>
    </row>
    <row r="3" spans="1:32" x14ac:dyDescent="0.2">
      <c r="A3" s="11" t="s">
        <v>11</v>
      </c>
      <c r="B3">
        <v>104</v>
      </c>
      <c r="C3">
        <v>87</v>
      </c>
      <c r="D3">
        <v>136</v>
      </c>
      <c r="E3">
        <v>148</v>
      </c>
      <c r="F3">
        <v>125</v>
      </c>
      <c r="G3">
        <v>146</v>
      </c>
      <c r="H3">
        <v>174</v>
      </c>
      <c r="I3">
        <v>922</v>
      </c>
      <c r="J3">
        <v>230</v>
      </c>
      <c r="L3" s="1" t="s">
        <v>11</v>
      </c>
      <c r="M3">
        <v>129</v>
      </c>
      <c r="N3">
        <v>94</v>
      </c>
      <c r="O3">
        <v>183</v>
      </c>
      <c r="P3">
        <v>203</v>
      </c>
      <c r="Q3">
        <v>209</v>
      </c>
      <c r="R3">
        <v>268</v>
      </c>
      <c r="S3">
        <v>397</v>
      </c>
      <c r="T3">
        <v>1483</v>
      </c>
      <c r="U3">
        <v>370</v>
      </c>
      <c r="X3">
        <f>Table1[[#This Row],['[1940,1949']]]/M3</f>
        <v>0.80620155038759689</v>
      </c>
      <c r="Y3">
        <f>Table1[[#This Row],['[1950,1959']]]/N3</f>
        <v>0.92553191489361697</v>
      </c>
      <c r="Z3">
        <f>Table1[[#This Row],['[1960,1969']]]/O3</f>
        <v>0.74316939890710387</v>
      </c>
      <c r="AA3">
        <f>Table1[[#This Row],['[1970,1979']]]/P3</f>
        <v>0.72906403940886699</v>
      </c>
      <c r="AB3">
        <f>Table1[[#This Row],['[1980,1989']]]/Q3</f>
        <v>0.59808612440191389</v>
      </c>
      <c r="AC3">
        <f>Table1[[#This Row],['[1990,1999']]]/R3</f>
        <v>0.54477611940298509</v>
      </c>
      <c r="AD3">
        <f>Table1[[#This Row],['[2000,2010']]]/S3</f>
        <v>0.43828715365239296</v>
      </c>
      <c r="AE3">
        <f>Table1[[#This Row],[Total papers]]/T3</f>
        <v>0.62171274443695212</v>
      </c>
      <c r="AF3">
        <f>Table1[[#This Row],[Average Paper per decade]]/U3</f>
        <v>0.6216216216216216</v>
      </c>
    </row>
    <row r="4" spans="1:32" x14ac:dyDescent="0.2">
      <c r="A4" s="11" t="s">
        <v>12</v>
      </c>
      <c r="B4">
        <v>36</v>
      </c>
      <c r="C4">
        <v>68</v>
      </c>
      <c r="D4">
        <v>108</v>
      </c>
      <c r="E4">
        <v>110</v>
      </c>
      <c r="F4">
        <v>159</v>
      </c>
      <c r="G4">
        <v>151</v>
      </c>
      <c r="H4">
        <v>145</v>
      </c>
      <c r="I4">
        <v>778</v>
      </c>
      <c r="J4">
        <v>194</v>
      </c>
      <c r="L4" s="1" t="s">
        <v>12</v>
      </c>
      <c r="M4">
        <v>41</v>
      </c>
      <c r="N4">
        <v>80</v>
      </c>
      <c r="O4">
        <v>144</v>
      </c>
      <c r="P4">
        <v>147</v>
      </c>
      <c r="Q4">
        <v>245</v>
      </c>
      <c r="R4">
        <v>273</v>
      </c>
      <c r="S4">
        <v>353</v>
      </c>
      <c r="T4">
        <v>1283</v>
      </c>
      <c r="U4">
        <v>320</v>
      </c>
      <c r="X4">
        <f>Table1[[#This Row],['[1940,1949']]]/M4</f>
        <v>0.87804878048780488</v>
      </c>
      <c r="Y4">
        <f>Table1[[#This Row],['[1950,1959']]]/N4</f>
        <v>0.85</v>
      </c>
      <c r="Z4">
        <f>Table1[[#This Row],['[1960,1969']]]/O4</f>
        <v>0.75</v>
      </c>
      <c r="AA4">
        <f>Table1[[#This Row],['[1970,1979']]]/P4</f>
        <v>0.74829931972789121</v>
      </c>
      <c r="AB4">
        <f>Table1[[#This Row],['[1980,1989']]]/Q4</f>
        <v>0.6489795918367347</v>
      </c>
      <c r="AC4">
        <f>Table1[[#This Row],['[1990,1999']]]/R4</f>
        <v>0.55311355311355315</v>
      </c>
      <c r="AD4">
        <f>Table1[[#This Row],['[2000,2010']]]/S4</f>
        <v>0.41076487252124644</v>
      </c>
      <c r="AE4">
        <f>Table1[[#This Row],[Total papers]]/T4</f>
        <v>0.60639127045985974</v>
      </c>
      <c r="AF4">
        <f>Table1[[#This Row],[Average Paper per decade]]/U4</f>
        <v>0.60624999999999996</v>
      </c>
    </row>
    <row r="5" spans="1:32" x14ac:dyDescent="0.2">
      <c r="A5" s="11" t="s">
        <v>13</v>
      </c>
      <c r="B5">
        <v>22</v>
      </c>
      <c r="C5">
        <v>62</v>
      </c>
      <c r="D5">
        <v>73</v>
      </c>
      <c r="E5">
        <v>111</v>
      </c>
      <c r="F5">
        <v>132</v>
      </c>
      <c r="G5">
        <v>111</v>
      </c>
      <c r="H5">
        <v>148</v>
      </c>
      <c r="I5">
        <v>661</v>
      </c>
      <c r="J5">
        <v>165</v>
      </c>
      <c r="L5" s="1" t="s">
        <v>13</v>
      </c>
      <c r="M5">
        <v>24</v>
      </c>
      <c r="N5">
        <v>76</v>
      </c>
      <c r="O5">
        <v>97</v>
      </c>
      <c r="P5">
        <v>166</v>
      </c>
      <c r="Q5">
        <v>225</v>
      </c>
      <c r="R5">
        <v>193</v>
      </c>
      <c r="S5">
        <v>307</v>
      </c>
      <c r="T5">
        <v>1088</v>
      </c>
      <c r="U5">
        <v>272</v>
      </c>
      <c r="X5">
        <f>Table1[[#This Row],['[1940,1949']]]/M5</f>
        <v>0.91666666666666663</v>
      </c>
      <c r="Y5">
        <f>Table1[[#This Row],['[1950,1959']]]/N5</f>
        <v>0.81578947368421051</v>
      </c>
      <c r="Z5">
        <f>Table1[[#This Row],['[1960,1969']]]/O5</f>
        <v>0.75257731958762886</v>
      </c>
      <c r="AA5">
        <f>Table1[[#This Row],['[1970,1979']]]/P5</f>
        <v>0.66867469879518071</v>
      </c>
      <c r="AB5">
        <f>Table1[[#This Row],['[1980,1989']]]/Q5</f>
        <v>0.58666666666666667</v>
      </c>
      <c r="AC5">
        <f>Table1[[#This Row],['[1990,1999']]]/R5</f>
        <v>0.57512953367875652</v>
      </c>
      <c r="AD5">
        <f>Table1[[#This Row],['[2000,2010']]]/S5</f>
        <v>0.48208469055374592</v>
      </c>
      <c r="AE5">
        <f>Table1[[#This Row],[Total papers]]/T5</f>
        <v>0.60753676470588236</v>
      </c>
      <c r="AF5">
        <f>Table1[[#This Row],[Average Paper per decade]]/U5</f>
        <v>0.60661764705882348</v>
      </c>
    </row>
    <row r="6" spans="1:32" x14ac:dyDescent="0.2">
      <c r="A6" s="11" t="s">
        <v>14</v>
      </c>
      <c r="B6">
        <v>38</v>
      </c>
      <c r="C6">
        <v>38</v>
      </c>
      <c r="D6">
        <v>65</v>
      </c>
      <c r="E6">
        <v>84</v>
      </c>
      <c r="F6">
        <v>141</v>
      </c>
      <c r="G6">
        <v>100</v>
      </c>
      <c r="H6">
        <v>124</v>
      </c>
      <c r="I6">
        <v>594</v>
      </c>
      <c r="J6">
        <v>148</v>
      </c>
      <c r="L6" s="1" t="s">
        <v>14</v>
      </c>
      <c r="M6">
        <v>41</v>
      </c>
      <c r="N6">
        <v>47</v>
      </c>
      <c r="O6">
        <v>94</v>
      </c>
      <c r="P6">
        <v>122</v>
      </c>
      <c r="Q6">
        <v>232</v>
      </c>
      <c r="R6">
        <v>184</v>
      </c>
      <c r="S6">
        <v>248</v>
      </c>
      <c r="T6">
        <v>968</v>
      </c>
      <c r="U6">
        <v>242</v>
      </c>
      <c r="X6">
        <f>Table1[[#This Row],['[1940,1949']]]/M6</f>
        <v>0.92682926829268297</v>
      </c>
      <c r="Y6">
        <f>Table1[[#This Row],['[1950,1959']]]/N6</f>
        <v>0.80851063829787229</v>
      </c>
      <c r="Z6">
        <f>Table1[[#This Row],['[1960,1969']]]/O6</f>
        <v>0.69148936170212771</v>
      </c>
      <c r="AA6">
        <f>Table1[[#This Row],['[1970,1979']]]/P6</f>
        <v>0.68852459016393441</v>
      </c>
      <c r="AB6">
        <f>Table1[[#This Row],['[1980,1989']]]/Q6</f>
        <v>0.60775862068965514</v>
      </c>
      <c r="AC6">
        <f>Table1[[#This Row],['[1990,1999']]]/R6</f>
        <v>0.54347826086956519</v>
      </c>
      <c r="AD6">
        <f>Table1[[#This Row],['[2000,2010']]]/S6</f>
        <v>0.5</v>
      </c>
      <c r="AE6">
        <f>Table1[[#This Row],[Total papers]]/T6</f>
        <v>0.61363636363636365</v>
      </c>
      <c r="AF6">
        <f>Table1[[#This Row],[Average Paper per decade]]/U6</f>
        <v>0.61157024793388426</v>
      </c>
    </row>
    <row r="7" spans="1:32" x14ac:dyDescent="0.2">
      <c r="A7" s="11" t="s">
        <v>15</v>
      </c>
      <c r="B7">
        <v>40</v>
      </c>
      <c r="C7">
        <v>59</v>
      </c>
      <c r="D7">
        <v>99</v>
      </c>
      <c r="E7">
        <v>111</v>
      </c>
      <c r="F7">
        <v>109</v>
      </c>
      <c r="G7">
        <v>86</v>
      </c>
      <c r="H7">
        <v>86</v>
      </c>
      <c r="I7">
        <v>593</v>
      </c>
      <c r="J7">
        <v>148</v>
      </c>
      <c r="L7" s="1" t="s">
        <v>15</v>
      </c>
      <c r="M7">
        <v>53</v>
      </c>
      <c r="N7">
        <v>68</v>
      </c>
      <c r="O7">
        <v>129</v>
      </c>
      <c r="P7">
        <v>142</v>
      </c>
      <c r="Q7">
        <v>168</v>
      </c>
      <c r="R7">
        <v>139</v>
      </c>
      <c r="S7">
        <v>191</v>
      </c>
      <c r="T7">
        <v>890</v>
      </c>
      <c r="U7">
        <v>222</v>
      </c>
      <c r="X7">
        <f>Table1[[#This Row],['[1940,1949']]]/M7</f>
        <v>0.75471698113207553</v>
      </c>
      <c r="Y7">
        <f>Table1[[#This Row],['[1950,1959']]]/N7</f>
        <v>0.86764705882352944</v>
      </c>
      <c r="Z7">
        <f>Table1[[#This Row],['[1960,1969']]]/O7</f>
        <v>0.76744186046511631</v>
      </c>
      <c r="AA7">
        <f>Table1[[#This Row],['[1970,1979']]]/P7</f>
        <v>0.78169014084507038</v>
      </c>
      <c r="AB7">
        <f>Table1[[#This Row],['[1980,1989']]]/Q7</f>
        <v>0.64880952380952384</v>
      </c>
      <c r="AC7">
        <f>Table1[[#This Row],['[1990,1999']]]/R7</f>
        <v>0.61870503597122306</v>
      </c>
      <c r="AD7">
        <f>Table1[[#This Row],['[2000,2010']]]/S7</f>
        <v>0.45026178010471202</v>
      </c>
      <c r="AE7">
        <f>Table1[[#This Row],[Total papers]]/T7</f>
        <v>0.66629213483146066</v>
      </c>
      <c r="AF7">
        <f>Table1[[#This Row],[Average Paper per decade]]/U7</f>
        <v>0.66666666666666663</v>
      </c>
    </row>
    <row r="8" spans="1:32" x14ac:dyDescent="0.2">
      <c r="A8" s="11" t="s">
        <v>16</v>
      </c>
      <c r="B8">
        <v>18</v>
      </c>
      <c r="C8">
        <v>37</v>
      </c>
      <c r="D8">
        <v>78</v>
      </c>
      <c r="E8">
        <v>74</v>
      </c>
      <c r="F8">
        <v>91</v>
      </c>
      <c r="G8">
        <v>78</v>
      </c>
      <c r="H8">
        <v>133</v>
      </c>
      <c r="I8">
        <v>512</v>
      </c>
      <c r="J8">
        <v>128</v>
      </c>
      <c r="L8" s="1" t="s">
        <v>16</v>
      </c>
      <c r="M8">
        <v>27</v>
      </c>
      <c r="N8">
        <v>43</v>
      </c>
      <c r="O8">
        <v>95</v>
      </c>
      <c r="P8">
        <v>113</v>
      </c>
      <c r="Q8">
        <v>147</v>
      </c>
      <c r="R8">
        <v>137</v>
      </c>
      <c r="S8">
        <v>290</v>
      </c>
      <c r="T8">
        <v>852</v>
      </c>
      <c r="U8">
        <v>213</v>
      </c>
      <c r="X8">
        <f>Table1[[#This Row],['[1940,1949']]]/M8</f>
        <v>0.66666666666666663</v>
      </c>
      <c r="Y8">
        <f>Table1[[#This Row],['[1950,1959']]]/N8</f>
        <v>0.86046511627906974</v>
      </c>
      <c r="Z8">
        <f>Table1[[#This Row],['[1960,1969']]]/O8</f>
        <v>0.82105263157894737</v>
      </c>
      <c r="AA8">
        <f>Table1[[#This Row],['[1970,1979']]]/P8</f>
        <v>0.65486725663716816</v>
      </c>
      <c r="AB8">
        <f>Table1[[#This Row],['[1980,1989']]]/Q8</f>
        <v>0.61904761904761907</v>
      </c>
      <c r="AC8">
        <f>Table1[[#This Row],['[1990,1999']]]/R8</f>
        <v>0.56934306569343063</v>
      </c>
      <c r="AD8">
        <f>Table1[[#This Row],['[2000,2010']]]/S8</f>
        <v>0.45862068965517239</v>
      </c>
      <c r="AE8">
        <f>Table1[[#This Row],[Total papers]]/T8</f>
        <v>0.60093896713615025</v>
      </c>
      <c r="AF8">
        <f>Table1[[#This Row],[Average Paper per decade]]/U8</f>
        <v>0.60093896713615025</v>
      </c>
    </row>
    <row r="9" spans="1:32" x14ac:dyDescent="0.2">
      <c r="A9" s="11" t="s">
        <v>17</v>
      </c>
      <c r="B9">
        <v>12</v>
      </c>
      <c r="C9">
        <v>37</v>
      </c>
      <c r="D9">
        <v>42</v>
      </c>
      <c r="E9">
        <v>79</v>
      </c>
      <c r="F9">
        <v>96</v>
      </c>
      <c r="G9">
        <v>111</v>
      </c>
      <c r="H9">
        <v>119</v>
      </c>
      <c r="I9">
        <v>499</v>
      </c>
      <c r="J9">
        <v>124</v>
      </c>
      <c r="L9" s="1" t="s">
        <v>18</v>
      </c>
      <c r="M9">
        <v>25</v>
      </c>
      <c r="N9">
        <v>30</v>
      </c>
      <c r="O9">
        <v>84</v>
      </c>
      <c r="P9">
        <v>119</v>
      </c>
      <c r="Q9">
        <v>191</v>
      </c>
      <c r="R9">
        <v>173</v>
      </c>
      <c r="S9">
        <v>208</v>
      </c>
      <c r="T9">
        <v>830</v>
      </c>
      <c r="U9">
        <v>207</v>
      </c>
      <c r="X9">
        <f>Table1[[#This Row],['[1940,1949']]]/M9</f>
        <v>0.48</v>
      </c>
      <c r="Y9">
        <f>Table1[[#This Row],['[1950,1959']]]/N9</f>
        <v>1.2333333333333334</v>
      </c>
      <c r="Z9">
        <f>Table1[[#This Row],['[1960,1969']]]/O9</f>
        <v>0.5</v>
      </c>
      <c r="AA9">
        <f>Table1[[#This Row],['[1970,1979']]]/P9</f>
        <v>0.66386554621848737</v>
      </c>
      <c r="AB9">
        <f>Table1[[#This Row],['[1980,1989']]]/Q9</f>
        <v>0.50261780104712039</v>
      </c>
      <c r="AC9">
        <f>Table1[[#This Row],['[1990,1999']]]/R9</f>
        <v>0.64161849710982655</v>
      </c>
      <c r="AD9">
        <f>Table1[[#This Row],['[2000,2010']]]/S9</f>
        <v>0.57211538461538458</v>
      </c>
      <c r="AE9">
        <f>Table1[[#This Row],[Total papers]]/T9</f>
        <v>0.60120481927710845</v>
      </c>
      <c r="AF9">
        <f>Table1[[#This Row],[Average Paper per decade]]/U9</f>
        <v>0.59903381642512077</v>
      </c>
    </row>
    <row r="10" spans="1:32" x14ac:dyDescent="0.2">
      <c r="A10" s="11" t="s">
        <v>18</v>
      </c>
      <c r="B10">
        <v>20</v>
      </c>
      <c r="C10">
        <v>25</v>
      </c>
      <c r="D10">
        <v>66</v>
      </c>
      <c r="E10">
        <v>75</v>
      </c>
      <c r="F10">
        <v>113</v>
      </c>
      <c r="G10">
        <v>83</v>
      </c>
      <c r="H10">
        <v>88</v>
      </c>
      <c r="I10">
        <v>472</v>
      </c>
      <c r="J10">
        <v>118</v>
      </c>
      <c r="L10" s="1" t="s">
        <v>17</v>
      </c>
      <c r="M10">
        <v>14</v>
      </c>
      <c r="N10">
        <v>42</v>
      </c>
      <c r="O10">
        <v>57</v>
      </c>
      <c r="P10">
        <v>118</v>
      </c>
      <c r="Q10">
        <v>154</v>
      </c>
      <c r="R10">
        <v>192</v>
      </c>
      <c r="S10">
        <v>234</v>
      </c>
      <c r="T10">
        <v>811</v>
      </c>
      <c r="U10">
        <v>202</v>
      </c>
      <c r="X10">
        <f>Table1[[#This Row],['[1940,1949']]]/M10</f>
        <v>1.4285714285714286</v>
      </c>
      <c r="Y10">
        <f>Table1[[#This Row],['[1950,1959']]]/N10</f>
        <v>0.59523809523809523</v>
      </c>
      <c r="Z10">
        <f>Table1[[#This Row],['[1960,1969']]]/O10</f>
        <v>1.1578947368421053</v>
      </c>
      <c r="AA10">
        <f>Table1[[#This Row],['[1970,1979']]]/P10</f>
        <v>0.63559322033898302</v>
      </c>
      <c r="AB10">
        <f>Table1[[#This Row],['[1980,1989']]]/Q10</f>
        <v>0.73376623376623373</v>
      </c>
      <c r="AC10">
        <f>Table1[[#This Row],['[1990,1999']]]/R10</f>
        <v>0.43229166666666669</v>
      </c>
      <c r="AD10">
        <f>Table1[[#This Row],['[2000,2010']]]/S10</f>
        <v>0.37606837606837606</v>
      </c>
      <c r="AE10">
        <f>Table1[[#This Row],[Total papers]]/T10</f>
        <v>0.58199753390875464</v>
      </c>
      <c r="AF10">
        <f>Table1[[#This Row],[Average Paper per decade]]/U10</f>
        <v>0.58415841584158412</v>
      </c>
    </row>
    <row r="11" spans="1:32" x14ac:dyDescent="0.2">
      <c r="A11" s="11" t="s">
        <v>19</v>
      </c>
      <c r="B11">
        <v>52</v>
      </c>
      <c r="C11">
        <v>54</v>
      </c>
      <c r="D11">
        <v>48</v>
      </c>
      <c r="E11">
        <v>70</v>
      </c>
      <c r="F11">
        <v>66</v>
      </c>
      <c r="G11">
        <v>73</v>
      </c>
      <c r="H11">
        <v>88</v>
      </c>
      <c r="I11">
        <v>454</v>
      </c>
      <c r="J11">
        <v>113</v>
      </c>
      <c r="L11" s="1" t="s">
        <v>19</v>
      </c>
      <c r="M11">
        <v>57</v>
      </c>
      <c r="N11">
        <v>61</v>
      </c>
      <c r="O11">
        <v>62</v>
      </c>
      <c r="P11">
        <v>97</v>
      </c>
      <c r="Q11">
        <v>104</v>
      </c>
      <c r="R11">
        <v>118</v>
      </c>
      <c r="S11">
        <v>208</v>
      </c>
      <c r="T11">
        <v>707</v>
      </c>
      <c r="U11">
        <v>176</v>
      </c>
      <c r="X11">
        <f>Table1[[#This Row],['[1940,1949']]]/M11</f>
        <v>0.91228070175438591</v>
      </c>
      <c r="Y11">
        <f>Table1[[#This Row],['[1950,1959']]]/N11</f>
        <v>0.88524590163934425</v>
      </c>
      <c r="Z11">
        <f>Table1[[#This Row],['[1960,1969']]]/O11</f>
        <v>0.77419354838709675</v>
      </c>
      <c r="AA11">
        <f>Table1[[#This Row],['[1970,1979']]]/P11</f>
        <v>0.72164948453608246</v>
      </c>
      <c r="AB11">
        <f>Table1[[#This Row],['[1980,1989']]]/Q11</f>
        <v>0.63461538461538458</v>
      </c>
      <c r="AC11">
        <f>Table1[[#This Row],['[1990,1999']]]/R11</f>
        <v>0.61864406779661019</v>
      </c>
      <c r="AD11">
        <f>Table1[[#This Row],['[2000,2010']]]/S11</f>
        <v>0.42307692307692307</v>
      </c>
      <c r="AE11">
        <f>Table1[[#This Row],[Total papers]]/T11</f>
        <v>0.64214992927864212</v>
      </c>
      <c r="AF11">
        <f>Table1[[#This Row],[Average Paper per decade]]/U11</f>
        <v>0.64204545454545459</v>
      </c>
    </row>
    <row r="12" spans="1:32" x14ac:dyDescent="0.2">
      <c r="A12" s="11" t="s">
        <v>20</v>
      </c>
      <c r="B12">
        <v>23</v>
      </c>
      <c r="C12">
        <v>44</v>
      </c>
      <c r="D12">
        <v>49</v>
      </c>
      <c r="E12">
        <v>62</v>
      </c>
      <c r="F12">
        <v>61</v>
      </c>
      <c r="G12">
        <v>57</v>
      </c>
      <c r="H12">
        <v>54</v>
      </c>
      <c r="I12">
        <v>353</v>
      </c>
      <c r="J12">
        <v>88</v>
      </c>
      <c r="L12" s="1" t="s">
        <v>20</v>
      </c>
      <c r="M12">
        <v>28</v>
      </c>
      <c r="N12">
        <v>54</v>
      </c>
      <c r="O12">
        <v>64</v>
      </c>
      <c r="P12">
        <v>85</v>
      </c>
      <c r="Q12">
        <v>100</v>
      </c>
      <c r="R12">
        <v>113</v>
      </c>
      <c r="S12">
        <v>112</v>
      </c>
      <c r="T12">
        <v>556</v>
      </c>
      <c r="U12">
        <v>139</v>
      </c>
      <c r="X12">
        <f>Table1[[#This Row],['[1940,1949']]]/M12</f>
        <v>0.8214285714285714</v>
      </c>
      <c r="Y12">
        <f>Table1[[#This Row],['[1950,1959']]]/N12</f>
        <v>0.81481481481481477</v>
      </c>
      <c r="Z12">
        <f>Table1[[#This Row],['[1960,1969']]]/O12</f>
        <v>0.765625</v>
      </c>
      <c r="AA12">
        <f>Table1[[#This Row],['[1970,1979']]]/P12</f>
        <v>0.72941176470588232</v>
      </c>
      <c r="AB12">
        <f>Table1[[#This Row],['[1980,1989']]]/Q12</f>
        <v>0.61</v>
      </c>
      <c r="AC12">
        <f>Table1[[#This Row],['[1990,1999']]]/R12</f>
        <v>0.50442477876106195</v>
      </c>
      <c r="AD12">
        <f>Table1[[#This Row],['[2000,2010']]]/S12</f>
        <v>0.48214285714285715</v>
      </c>
      <c r="AE12">
        <f>Table1[[#This Row],[Total papers]]/T12</f>
        <v>0.6348920863309353</v>
      </c>
      <c r="AF12">
        <f>Table1[[#This Row],[Average Paper per decade]]/U12</f>
        <v>0.63309352517985606</v>
      </c>
    </row>
    <row r="13" spans="1:32" x14ac:dyDescent="0.2">
      <c r="A13" s="11" t="s">
        <v>21</v>
      </c>
      <c r="B13">
        <v>12</v>
      </c>
      <c r="C13">
        <v>33</v>
      </c>
      <c r="D13">
        <v>41</v>
      </c>
      <c r="E13">
        <v>64</v>
      </c>
      <c r="F13">
        <v>64</v>
      </c>
      <c r="G13">
        <v>58</v>
      </c>
      <c r="H13">
        <v>64</v>
      </c>
      <c r="I13">
        <v>339</v>
      </c>
      <c r="J13">
        <v>84</v>
      </c>
      <c r="L13" s="1" t="s">
        <v>21</v>
      </c>
      <c r="M13">
        <v>13</v>
      </c>
      <c r="N13">
        <v>40</v>
      </c>
      <c r="O13">
        <v>48</v>
      </c>
      <c r="P13">
        <v>83</v>
      </c>
      <c r="Q13">
        <v>99</v>
      </c>
      <c r="R13">
        <v>103</v>
      </c>
      <c r="S13">
        <v>164</v>
      </c>
      <c r="T13">
        <v>550</v>
      </c>
      <c r="U13">
        <v>137</v>
      </c>
      <c r="X13">
        <f>Table1[[#This Row],['[1940,1949']]]/M13</f>
        <v>0.92307692307692313</v>
      </c>
      <c r="Y13">
        <f>Table1[[#This Row],['[1950,1959']]]/N13</f>
        <v>0.82499999999999996</v>
      </c>
      <c r="Z13">
        <f>Table1[[#This Row],['[1960,1969']]]/O13</f>
        <v>0.85416666666666663</v>
      </c>
      <c r="AA13">
        <f>Table1[[#This Row],['[1970,1979']]]/P13</f>
        <v>0.77108433734939763</v>
      </c>
      <c r="AB13">
        <f>Table1[[#This Row],['[1980,1989']]]/Q13</f>
        <v>0.64646464646464652</v>
      </c>
      <c r="AC13">
        <f>Table1[[#This Row],['[1990,1999']]]/R13</f>
        <v>0.56310679611650483</v>
      </c>
      <c r="AD13">
        <f>Table1[[#This Row],['[2000,2010']]]/S13</f>
        <v>0.3902439024390244</v>
      </c>
      <c r="AE13">
        <f>Table1[[#This Row],[Total papers]]/T13</f>
        <v>0.61636363636363634</v>
      </c>
      <c r="AF13">
        <f>Table1[[#This Row],[Average Paper per decade]]/U13</f>
        <v>0.61313868613138689</v>
      </c>
    </row>
    <row r="14" spans="1:32" x14ac:dyDescent="0.2">
      <c r="A14" s="11" t="s">
        <v>22</v>
      </c>
      <c r="B14">
        <v>4</v>
      </c>
      <c r="C14">
        <v>12</v>
      </c>
      <c r="D14">
        <v>28</v>
      </c>
      <c r="E14">
        <v>84</v>
      </c>
      <c r="F14">
        <v>88</v>
      </c>
      <c r="G14">
        <v>40</v>
      </c>
      <c r="H14">
        <v>68</v>
      </c>
      <c r="I14">
        <v>326</v>
      </c>
      <c r="J14">
        <v>81</v>
      </c>
      <c r="L14" s="1" t="s">
        <v>22</v>
      </c>
      <c r="M14">
        <v>5</v>
      </c>
      <c r="N14">
        <v>14</v>
      </c>
      <c r="O14">
        <v>36</v>
      </c>
      <c r="P14">
        <v>112</v>
      </c>
      <c r="Q14">
        <v>129</v>
      </c>
      <c r="R14">
        <v>71</v>
      </c>
      <c r="S14">
        <v>161</v>
      </c>
      <c r="T14">
        <v>528</v>
      </c>
      <c r="U14">
        <v>132</v>
      </c>
      <c r="X14">
        <f>Table1[[#This Row],['[1940,1949']]]/M14</f>
        <v>0.8</v>
      </c>
      <c r="Y14">
        <f>Table1[[#This Row],['[1950,1959']]]/N14</f>
        <v>0.8571428571428571</v>
      </c>
      <c r="Z14">
        <f>Table1[[#This Row],['[1960,1969']]]/O14</f>
        <v>0.77777777777777779</v>
      </c>
      <c r="AA14">
        <f>Table1[[#This Row],['[1970,1979']]]/P14</f>
        <v>0.75</v>
      </c>
      <c r="AB14">
        <f>Table1[[#This Row],['[1980,1989']]]/Q14</f>
        <v>0.68217054263565891</v>
      </c>
      <c r="AC14">
        <f>Table1[[#This Row],['[1990,1999']]]/R14</f>
        <v>0.56338028169014087</v>
      </c>
      <c r="AD14">
        <f>Table1[[#This Row],['[2000,2010']]]/S14</f>
        <v>0.42236024844720499</v>
      </c>
      <c r="AE14">
        <f>Table1[[#This Row],[Total papers]]/T14</f>
        <v>0.61742424242424243</v>
      </c>
      <c r="AF14">
        <f>Table1[[#This Row],[Average Paper per decade]]/U14</f>
        <v>0.61363636363636365</v>
      </c>
    </row>
    <row r="15" spans="1:32" x14ac:dyDescent="0.2">
      <c r="A15" s="11" t="s">
        <v>23</v>
      </c>
      <c r="B15">
        <v>13</v>
      </c>
      <c r="C15">
        <v>29</v>
      </c>
      <c r="D15">
        <v>56</v>
      </c>
      <c r="E15">
        <v>89</v>
      </c>
      <c r="F15">
        <v>53</v>
      </c>
      <c r="G15">
        <v>34</v>
      </c>
      <c r="H15">
        <v>42</v>
      </c>
      <c r="I15">
        <v>319</v>
      </c>
      <c r="J15">
        <v>79</v>
      </c>
      <c r="L15" s="1" t="s">
        <v>23</v>
      </c>
      <c r="M15">
        <v>14</v>
      </c>
      <c r="N15">
        <v>32</v>
      </c>
      <c r="O15">
        <v>76</v>
      </c>
      <c r="P15">
        <v>140</v>
      </c>
      <c r="Q15">
        <v>86</v>
      </c>
      <c r="R15">
        <v>58</v>
      </c>
      <c r="S15">
        <v>86</v>
      </c>
      <c r="T15">
        <v>492</v>
      </c>
      <c r="U15">
        <v>123</v>
      </c>
      <c r="X15">
        <f>Table1[[#This Row],['[1940,1949']]]/M15</f>
        <v>0.9285714285714286</v>
      </c>
      <c r="Y15">
        <f>Table1[[#This Row],['[1950,1959']]]/N15</f>
        <v>0.90625</v>
      </c>
      <c r="Z15">
        <f>Table1[[#This Row],['[1960,1969']]]/O15</f>
        <v>0.73684210526315785</v>
      </c>
      <c r="AA15">
        <f>Table1[[#This Row],['[1970,1979']]]/P15</f>
        <v>0.63571428571428568</v>
      </c>
      <c r="AB15">
        <f>Table1[[#This Row],['[1980,1989']]]/Q15</f>
        <v>0.61627906976744184</v>
      </c>
      <c r="AC15">
        <f>Table1[[#This Row],['[1990,1999']]]/R15</f>
        <v>0.58620689655172409</v>
      </c>
      <c r="AD15">
        <f>Table1[[#This Row],['[2000,2010']]]/S15</f>
        <v>0.48837209302325579</v>
      </c>
      <c r="AE15">
        <f>Table1[[#This Row],[Total papers]]/T15</f>
        <v>0.64837398373983735</v>
      </c>
      <c r="AF15">
        <f>Table1[[#This Row],[Average Paper per decade]]/U15</f>
        <v>0.64227642276422769</v>
      </c>
    </row>
    <row r="16" spans="1:32" x14ac:dyDescent="0.2">
      <c r="A16" s="11" t="s">
        <v>24</v>
      </c>
      <c r="B16">
        <v>22</v>
      </c>
      <c r="C16">
        <v>3</v>
      </c>
      <c r="D16">
        <v>8</v>
      </c>
      <c r="E16">
        <v>35</v>
      </c>
      <c r="F16">
        <v>45</v>
      </c>
      <c r="G16">
        <v>36</v>
      </c>
      <c r="H16">
        <v>91</v>
      </c>
      <c r="I16">
        <v>242</v>
      </c>
      <c r="J16">
        <v>60</v>
      </c>
      <c r="L16" s="1" t="s">
        <v>24</v>
      </c>
      <c r="M16">
        <v>28</v>
      </c>
      <c r="N16">
        <v>5</v>
      </c>
      <c r="O16">
        <v>13</v>
      </c>
      <c r="P16">
        <v>60</v>
      </c>
      <c r="Q16">
        <v>81</v>
      </c>
      <c r="R16">
        <v>69</v>
      </c>
      <c r="S16">
        <v>214</v>
      </c>
      <c r="T16">
        <v>470</v>
      </c>
      <c r="U16">
        <v>117</v>
      </c>
      <c r="X16">
        <f>Table1[[#This Row],['[1940,1949']]]/M16</f>
        <v>0.7857142857142857</v>
      </c>
      <c r="Y16">
        <f>Table1[[#This Row],['[1950,1959']]]/N16</f>
        <v>0.6</v>
      </c>
      <c r="Z16">
        <f>Table1[[#This Row],['[1960,1969']]]/O16</f>
        <v>0.61538461538461542</v>
      </c>
      <c r="AA16">
        <f>Table1[[#This Row],['[1970,1979']]]/P16</f>
        <v>0.58333333333333337</v>
      </c>
      <c r="AB16">
        <f>Table1[[#This Row],['[1980,1989']]]/Q16</f>
        <v>0.55555555555555558</v>
      </c>
      <c r="AC16">
        <f>Table1[[#This Row],['[1990,1999']]]/R16</f>
        <v>0.52173913043478259</v>
      </c>
      <c r="AD16">
        <f>Table1[[#This Row],['[2000,2010']]]/S16</f>
        <v>0.42523364485981308</v>
      </c>
      <c r="AE16">
        <f>Table1[[#This Row],[Total papers]]/T16</f>
        <v>0.51489361702127656</v>
      </c>
      <c r="AF16">
        <f>Table1[[#This Row],[Average Paper per decade]]/U16</f>
        <v>0.51282051282051277</v>
      </c>
    </row>
    <row r="17" spans="1:32" x14ac:dyDescent="0.2">
      <c r="A17" s="11" t="s">
        <v>25</v>
      </c>
      <c r="B17">
        <v>9</v>
      </c>
      <c r="C17">
        <v>28</v>
      </c>
      <c r="D17">
        <v>55</v>
      </c>
      <c r="E17">
        <v>43</v>
      </c>
      <c r="F17">
        <v>47</v>
      </c>
      <c r="G17">
        <v>27</v>
      </c>
      <c r="H17">
        <v>23</v>
      </c>
      <c r="I17">
        <v>236</v>
      </c>
      <c r="J17">
        <v>59</v>
      </c>
      <c r="L17" s="1" t="s">
        <v>26</v>
      </c>
      <c r="M17">
        <v>23</v>
      </c>
      <c r="N17">
        <v>17</v>
      </c>
      <c r="O17">
        <v>42</v>
      </c>
      <c r="P17">
        <v>79</v>
      </c>
      <c r="Q17">
        <v>84</v>
      </c>
      <c r="R17">
        <v>71</v>
      </c>
      <c r="S17">
        <v>100</v>
      </c>
      <c r="T17">
        <v>416</v>
      </c>
      <c r="U17">
        <v>104</v>
      </c>
      <c r="X17">
        <f>Table1[[#This Row],['[1940,1949']]]/M17</f>
        <v>0.39130434782608697</v>
      </c>
      <c r="Y17">
        <f>Table1[[#This Row],['[1950,1959']]]/N17</f>
        <v>1.6470588235294117</v>
      </c>
      <c r="Z17">
        <f>Table1[[#This Row],['[1960,1969']]]/O17</f>
        <v>1.3095238095238095</v>
      </c>
      <c r="AA17">
        <f>Table1[[#This Row],['[1970,1979']]]/P17</f>
        <v>0.54430379746835444</v>
      </c>
      <c r="AB17">
        <f>Table1[[#This Row],['[1980,1989']]]/Q17</f>
        <v>0.55952380952380953</v>
      </c>
      <c r="AC17">
        <f>Table1[[#This Row],['[1990,1999']]]/R17</f>
        <v>0.38028169014084506</v>
      </c>
      <c r="AD17">
        <f>Table1[[#This Row],['[2000,2010']]]/S17</f>
        <v>0.23</v>
      </c>
      <c r="AE17">
        <f>Table1[[#This Row],[Total papers]]/T17</f>
        <v>0.56730769230769229</v>
      </c>
      <c r="AF17">
        <f>Table1[[#This Row],[Average Paper per decade]]/U17</f>
        <v>0.56730769230769229</v>
      </c>
    </row>
    <row r="18" spans="1:32" x14ac:dyDescent="0.2">
      <c r="A18" s="11" t="s">
        <v>26</v>
      </c>
      <c r="B18">
        <v>19</v>
      </c>
      <c r="C18">
        <v>14</v>
      </c>
      <c r="D18">
        <v>36</v>
      </c>
      <c r="E18">
        <v>51</v>
      </c>
      <c r="F18">
        <v>49</v>
      </c>
      <c r="G18">
        <v>29</v>
      </c>
      <c r="H18">
        <v>29</v>
      </c>
      <c r="I18">
        <v>230</v>
      </c>
      <c r="J18">
        <v>57</v>
      </c>
      <c r="L18" s="1" t="s">
        <v>25</v>
      </c>
      <c r="M18">
        <v>10</v>
      </c>
      <c r="N18">
        <v>46</v>
      </c>
      <c r="O18">
        <v>85</v>
      </c>
      <c r="P18">
        <v>72</v>
      </c>
      <c r="Q18">
        <v>84</v>
      </c>
      <c r="R18">
        <v>57</v>
      </c>
      <c r="S18">
        <v>54</v>
      </c>
      <c r="T18">
        <v>408</v>
      </c>
      <c r="U18">
        <v>102</v>
      </c>
      <c r="X18">
        <f>Table1[[#This Row],['[1940,1949']]]/M18</f>
        <v>1.9</v>
      </c>
      <c r="Y18">
        <f>Table1[[#This Row],['[1950,1959']]]/N18</f>
        <v>0.30434782608695654</v>
      </c>
      <c r="Z18">
        <f>Table1[[#This Row],['[1960,1969']]]/O18</f>
        <v>0.42352941176470588</v>
      </c>
      <c r="AA18">
        <f>Table1[[#This Row],['[1970,1979']]]/P18</f>
        <v>0.70833333333333337</v>
      </c>
      <c r="AB18">
        <f>Table1[[#This Row],['[1980,1989']]]/Q18</f>
        <v>0.58333333333333337</v>
      </c>
      <c r="AC18">
        <f>Table1[[#This Row],['[1990,1999']]]/R18</f>
        <v>0.50877192982456143</v>
      </c>
      <c r="AD18">
        <f>Table1[[#This Row],['[2000,2010']]]/S18</f>
        <v>0.53703703703703709</v>
      </c>
      <c r="AE18">
        <f>Table1[[#This Row],[Total papers]]/T18</f>
        <v>0.56372549019607843</v>
      </c>
      <c r="AF18">
        <f>Table1[[#This Row],[Average Paper per decade]]/U18</f>
        <v>0.55882352941176472</v>
      </c>
    </row>
    <row r="19" spans="1:32" x14ac:dyDescent="0.2">
      <c r="A19" s="11" t="s">
        <v>27</v>
      </c>
      <c r="B19">
        <v>0</v>
      </c>
      <c r="C19">
        <v>5</v>
      </c>
      <c r="D19">
        <v>36</v>
      </c>
      <c r="E19">
        <v>86</v>
      </c>
      <c r="F19">
        <v>40</v>
      </c>
      <c r="G19">
        <v>18</v>
      </c>
      <c r="H19">
        <v>21</v>
      </c>
      <c r="I19">
        <v>209</v>
      </c>
      <c r="J19">
        <v>59</v>
      </c>
      <c r="L19" s="1" t="s">
        <v>27</v>
      </c>
      <c r="M19">
        <v>0</v>
      </c>
      <c r="N19">
        <v>7</v>
      </c>
      <c r="O19">
        <v>49</v>
      </c>
      <c r="P19">
        <v>131</v>
      </c>
      <c r="Q19">
        <v>66</v>
      </c>
      <c r="R19">
        <v>42</v>
      </c>
      <c r="S19">
        <v>54</v>
      </c>
      <c r="T19">
        <v>349</v>
      </c>
      <c r="U19">
        <v>99</v>
      </c>
      <c r="X19" t="e">
        <f>Table1[[#This Row],['[1940,1949']]]/M19</f>
        <v>#DIV/0!</v>
      </c>
      <c r="Y19">
        <f>Table1[[#This Row],['[1950,1959']]]/N19</f>
        <v>0.7142857142857143</v>
      </c>
      <c r="Z19">
        <f>Table1[[#This Row],['[1960,1969']]]/O19</f>
        <v>0.73469387755102045</v>
      </c>
      <c r="AA19">
        <f>Table1[[#This Row],['[1970,1979']]]/P19</f>
        <v>0.65648854961832059</v>
      </c>
      <c r="AB19">
        <f>Table1[[#This Row],['[1980,1989']]]/Q19</f>
        <v>0.60606060606060608</v>
      </c>
      <c r="AC19">
        <f>Table1[[#This Row],['[1990,1999']]]/R19</f>
        <v>0.42857142857142855</v>
      </c>
      <c r="AD19">
        <f>Table1[[#This Row],['[2000,2010']]]/S19</f>
        <v>0.3888888888888889</v>
      </c>
      <c r="AE19">
        <f>Table1[[#This Row],[Total papers]]/T19</f>
        <v>0.59885386819484243</v>
      </c>
      <c r="AF19">
        <f>Table1[[#This Row],[Average Paper per decade]]/U19</f>
        <v>0.59595959595959591</v>
      </c>
    </row>
    <row r="20" spans="1:32" x14ac:dyDescent="0.2">
      <c r="A20" s="11" t="s">
        <v>28</v>
      </c>
      <c r="B20">
        <v>23</v>
      </c>
      <c r="C20">
        <v>44</v>
      </c>
      <c r="D20">
        <v>24</v>
      </c>
      <c r="E20">
        <v>23</v>
      </c>
      <c r="F20">
        <v>30</v>
      </c>
      <c r="G20">
        <v>23</v>
      </c>
      <c r="H20">
        <v>32</v>
      </c>
      <c r="I20">
        <v>202</v>
      </c>
      <c r="J20">
        <v>50</v>
      </c>
      <c r="L20" s="1" t="s">
        <v>29</v>
      </c>
      <c r="M20">
        <v>2</v>
      </c>
      <c r="N20">
        <v>2</v>
      </c>
      <c r="O20">
        <v>35</v>
      </c>
      <c r="P20">
        <v>80</v>
      </c>
      <c r="Q20">
        <v>58</v>
      </c>
      <c r="R20">
        <v>76</v>
      </c>
      <c r="S20">
        <v>44</v>
      </c>
      <c r="T20">
        <v>297</v>
      </c>
      <c r="U20">
        <v>74</v>
      </c>
      <c r="X20">
        <f>Table1[[#This Row],['[1940,1949']]]/M20</f>
        <v>11.5</v>
      </c>
      <c r="Y20">
        <f>Table1[[#This Row],['[1950,1959']]]/N20</f>
        <v>22</v>
      </c>
      <c r="Z20">
        <f>Table1[[#This Row],['[1960,1969']]]/O20</f>
        <v>0.68571428571428572</v>
      </c>
      <c r="AA20">
        <f>Table1[[#This Row],['[1970,1979']]]/P20</f>
        <v>0.28749999999999998</v>
      </c>
      <c r="AB20">
        <f>Table1[[#This Row],['[1980,1989']]]/Q20</f>
        <v>0.51724137931034486</v>
      </c>
      <c r="AC20">
        <f>Table1[[#This Row],['[1990,1999']]]/R20</f>
        <v>0.30263157894736842</v>
      </c>
      <c r="AD20">
        <f>Table1[[#This Row],['[2000,2010']]]/S20</f>
        <v>0.72727272727272729</v>
      </c>
      <c r="AE20">
        <f>Table1[[#This Row],[Total papers]]/T20</f>
        <v>0.68013468013468015</v>
      </c>
      <c r="AF20">
        <f>Table1[[#This Row],[Average Paper per decade]]/U20</f>
        <v>0.67567567567567566</v>
      </c>
    </row>
    <row r="21" spans="1:32" x14ac:dyDescent="0.2">
      <c r="A21" s="11" t="s">
        <v>29</v>
      </c>
      <c r="B21">
        <v>1</v>
      </c>
      <c r="C21">
        <v>2</v>
      </c>
      <c r="D21">
        <v>27</v>
      </c>
      <c r="E21">
        <v>56</v>
      </c>
      <c r="F21">
        <v>37</v>
      </c>
      <c r="G21">
        <v>43</v>
      </c>
      <c r="H21">
        <v>20</v>
      </c>
      <c r="I21">
        <v>187</v>
      </c>
      <c r="J21">
        <v>46</v>
      </c>
      <c r="L21" s="1" t="s">
        <v>28</v>
      </c>
      <c r="M21">
        <v>24</v>
      </c>
      <c r="N21">
        <v>52</v>
      </c>
      <c r="O21">
        <v>30</v>
      </c>
      <c r="P21">
        <v>37</v>
      </c>
      <c r="Q21">
        <v>46</v>
      </c>
      <c r="R21">
        <v>42</v>
      </c>
      <c r="S21">
        <v>63</v>
      </c>
      <c r="T21">
        <v>294</v>
      </c>
      <c r="U21">
        <v>73</v>
      </c>
      <c r="X21">
        <f>Table1[[#This Row],['[1940,1949']]]/M21</f>
        <v>4.1666666666666664E-2</v>
      </c>
      <c r="Y21">
        <f>Table1[[#This Row],['[1950,1959']]]/N21</f>
        <v>3.8461538461538464E-2</v>
      </c>
      <c r="Z21">
        <f>Table1[[#This Row],['[1960,1969']]]/O21</f>
        <v>0.9</v>
      </c>
      <c r="AA21">
        <f>Table1[[#This Row],['[1970,1979']]]/P21</f>
        <v>1.5135135135135136</v>
      </c>
      <c r="AB21">
        <f>Table1[[#This Row],['[1980,1989']]]/Q21</f>
        <v>0.80434782608695654</v>
      </c>
      <c r="AC21">
        <f>Table1[[#This Row],['[1990,1999']]]/R21</f>
        <v>1.0238095238095237</v>
      </c>
      <c r="AD21">
        <f>Table1[[#This Row],['[2000,2010']]]/S21</f>
        <v>0.31746031746031744</v>
      </c>
      <c r="AE21">
        <f>Table1[[#This Row],[Total papers]]/T21</f>
        <v>0.63605442176870752</v>
      </c>
      <c r="AF21">
        <f>Table1[[#This Row],[Average Paper per decade]]/U21</f>
        <v>0.63013698630136983</v>
      </c>
    </row>
    <row r="22" spans="1:32" x14ac:dyDescent="0.2">
      <c r="A22" s="11" t="s">
        <v>30</v>
      </c>
      <c r="B22">
        <v>21</v>
      </c>
      <c r="C22">
        <v>12</v>
      </c>
      <c r="D22">
        <v>19</v>
      </c>
      <c r="E22">
        <v>42</v>
      </c>
      <c r="F22">
        <v>20</v>
      </c>
      <c r="G22">
        <v>42</v>
      </c>
      <c r="H22">
        <v>29</v>
      </c>
      <c r="I22">
        <v>187</v>
      </c>
      <c r="J22">
        <v>46</v>
      </c>
      <c r="L22" s="1" t="s">
        <v>34</v>
      </c>
      <c r="M22">
        <v>14</v>
      </c>
      <c r="N22">
        <v>20</v>
      </c>
      <c r="O22">
        <v>39</v>
      </c>
      <c r="P22">
        <v>56</v>
      </c>
      <c r="Q22">
        <v>52</v>
      </c>
      <c r="R22">
        <v>54</v>
      </c>
      <c r="S22">
        <v>58</v>
      </c>
      <c r="T22">
        <v>293</v>
      </c>
      <c r="U22">
        <v>73</v>
      </c>
      <c r="X22">
        <f>Table1[[#This Row],['[1940,1949']]]/M22</f>
        <v>1.5</v>
      </c>
      <c r="Y22">
        <f>Table1[[#This Row],['[1950,1959']]]/N22</f>
        <v>0.6</v>
      </c>
      <c r="Z22">
        <f>Table1[[#This Row],['[1960,1969']]]/O22</f>
        <v>0.48717948717948717</v>
      </c>
      <c r="AA22">
        <f>Table1[[#This Row],['[1970,1979']]]/P22</f>
        <v>0.75</v>
      </c>
      <c r="AB22">
        <f>Table1[[#This Row],['[1980,1989']]]/Q22</f>
        <v>0.38461538461538464</v>
      </c>
      <c r="AC22">
        <f>Table1[[#This Row],['[1990,1999']]]/R22</f>
        <v>0.77777777777777779</v>
      </c>
      <c r="AD22">
        <f>Table1[[#This Row],['[2000,2010']]]/S22</f>
        <v>0.5</v>
      </c>
      <c r="AE22">
        <f>Table1[[#This Row],[Total papers]]/T22</f>
        <v>0.63822525597269619</v>
      </c>
      <c r="AF22">
        <f>Table1[[#This Row],[Average Paper per decade]]/U22</f>
        <v>0.63013698630136983</v>
      </c>
    </row>
    <row r="23" spans="1:32" x14ac:dyDescent="0.2">
      <c r="A23" s="11" t="s">
        <v>31</v>
      </c>
      <c r="B23">
        <v>26</v>
      </c>
      <c r="C23">
        <v>28</v>
      </c>
      <c r="D23">
        <v>15</v>
      </c>
      <c r="E23">
        <v>21</v>
      </c>
      <c r="F23">
        <v>32</v>
      </c>
      <c r="G23">
        <v>29</v>
      </c>
      <c r="H23">
        <v>32</v>
      </c>
      <c r="I23">
        <v>185</v>
      </c>
      <c r="J23">
        <v>46</v>
      </c>
      <c r="L23" s="1" t="s">
        <v>31</v>
      </c>
      <c r="M23">
        <v>28</v>
      </c>
      <c r="N23">
        <v>29</v>
      </c>
      <c r="O23">
        <v>18</v>
      </c>
      <c r="P23">
        <v>32</v>
      </c>
      <c r="Q23">
        <v>52</v>
      </c>
      <c r="R23">
        <v>52</v>
      </c>
      <c r="S23">
        <v>81</v>
      </c>
      <c r="T23">
        <v>292</v>
      </c>
      <c r="U23">
        <v>73</v>
      </c>
      <c r="X23">
        <f>Table1[[#This Row],['[1940,1949']]]/M23</f>
        <v>0.9285714285714286</v>
      </c>
      <c r="Y23">
        <f>Table1[[#This Row],['[1950,1959']]]/N23</f>
        <v>0.96551724137931039</v>
      </c>
      <c r="Z23">
        <f>Table1[[#This Row],['[1960,1969']]]/O23</f>
        <v>0.83333333333333337</v>
      </c>
      <c r="AA23">
        <f>Table1[[#This Row],['[1970,1979']]]/P23</f>
        <v>0.65625</v>
      </c>
      <c r="AB23">
        <f>Table1[[#This Row],['[1980,1989']]]/Q23</f>
        <v>0.61538461538461542</v>
      </c>
      <c r="AC23">
        <f>Table1[[#This Row],['[1990,1999']]]/R23</f>
        <v>0.55769230769230771</v>
      </c>
      <c r="AD23">
        <f>Table1[[#This Row],['[2000,2010']]]/S23</f>
        <v>0.39506172839506171</v>
      </c>
      <c r="AE23">
        <f>Table1[[#This Row],[Total papers]]/T23</f>
        <v>0.63356164383561642</v>
      </c>
      <c r="AF23">
        <f>Table1[[#This Row],[Average Paper per decade]]/U23</f>
        <v>0.63013698630136983</v>
      </c>
    </row>
    <row r="24" spans="1:32" x14ac:dyDescent="0.2">
      <c r="A24" s="11" t="s">
        <v>32</v>
      </c>
      <c r="B24">
        <v>22</v>
      </c>
      <c r="C24">
        <v>9</v>
      </c>
      <c r="D24">
        <v>28</v>
      </c>
      <c r="E24">
        <v>38</v>
      </c>
      <c r="F24">
        <v>24</v>
      </c>
      <c r="G24">
        <v>21</v>
      </c>
      <c r="H24">
        <v>39</v>
      </c>
      <c r="I24">
        <v>183</v>
      </c>
      <c r="J24">
        <v>45</v>
      </c>
      <c r="L24" s="1" t="s">
        <v>32</v>
      </c>
      <c r="M24">
        <v>23</v>
      </c>
      <c r="N24">
        <v>11</v>
      </c>
      <c r="O24">
        <v>36</v>
      </c>
      <c r="P24">
        <v>58</v>
      </c>
      <c r="Q24">
        <v>37</v>
      </c>
      <c r="R24">
        <v>42</v>
      </c>
      <c r="S24">
        <v>81</v>
      </c>
      <c r="T24">
        <v>288</v>
      </c>
      <c r="U24">
        <v>72</v>
      </c>
      <c r="X24">
        <f>Table1[[#This Row],['[1940,1949']]]/M24</f>
        <v>0.95652173913043481</v>
      </c>
      <c r="Y24">
        <f>Table1[[#This Row],['[1950,1959']]]/N24</f>
        <v>0.81818181818181823</v>
      </c>
      <c r="Z24">
        <f>Table1[[#This Row],['[1960,1969']]]/O24</f>
        <v>0.77777777777777779</v>
      </c>
      <c r="AA24">
        <f>Table1[[#This Row],['[1970,1979']]]/P24</f>
        <v>0.65517241379310343</v>
      </c>
      <c r="AB24">
        <f>Table1[[#This Row],['[1980,1989']]]/Q24</f>
        <v>0.64864864864864868</v>
      </c>
      <c r="AC24">
        <f>Table1[[#This Row],['[1990,1999']]]/R24</f>
        <v>0.5</v>
      </c>
      <c r="AD24">
        <f>Table1[[#This Row],['[2000,2010']]]/S24</f>
        <v>0.48148148148148145</v>
      </c>
      <c r="AE24">
        <f>Table1[[#This Row],[Total papers]]/T24</f>
        <v>0.63541666666666663</v>
      </c>
      <c r="AF24">
        <f>Table1[[#This Row],[Average Paper per decade]]/U24</f>
        <v>0.625</v>
      </c>
    </row>
    <row r="25" spans="1:32" x14ac:dyDescent="0.2">
      <c r="A25" s="11" t="s">
        <v>33</v>
      </c>
      <c r="B25">
        <v>20</v>
      </c>
      <c r="C25">
        <v>21</v>
      </c>
      <c r="D25">
        <v>27</v>
      </c>
      <c r="E25">
        <v>43</v>
      </c>
      <c r="F25">
        <v>36</v>
      </c>
      <c r="G25">
        <v>19</v>
      </c>
      <c r="H25">
        <v>15</v>
      </c>
      <c r="I25">
        <v>183</v>
      </c>
      <c r="J25">
        <v>45</v>
      </c>
      <c r="L25" s="1" t="s">
        <v>30</v>
      </c>
      <c r="M25">
        <v>25</v>
      </c>
      <c r="N25">
        <v>13</v>
      </c>
      <c r="O25">
        <v>22</v>
      </c>
      <c r="P25">
        <v>55</v>
      </c>
      <c r="Q25">
        <v>34</v>
      </c>
      <c r="R25">
        <v>73</v>
      </c>
      <c r="S25">
        <v>58</v>
      </c>
      <c r="T25">
        <v>280</v>
      </c>
      <c r="U25">
        <v>70</v>
      </c>
      <c r="X25">
        <f>Table1[[#This Row],['[1940,1949']]]/M25</f>
        <v>0.8</v>
      </c>
      <c r="Y25">
        <f>Table1[[#This Row],['[1950,1959']]]/N25</f>
        <v>1.6153846153846154</v>
      </c>
      <c r="Z25">
        <f>Table1[[#This Row],['[1960,1969']]]/O25</f>
        <v>1.2272727272727273</v>
      </c>
      <c r="AA25">
        <f>Table1[[#This Row],['[1970,1979']]]/P25</f>
        <v>0.78181818181818186</v>
      </c>
      <c r="AB25">
        <f>Table1[[#This Row],['[1980,1989']]]/Q25</f>
        <v>1.0588235294117647</v>
      </c>
      <c r="AC25">
        <f>Table1[[#This Row],['[1990,1999']]]/R25</f>
        <v>0.26027397260273971</v>
      </c>
      <c r="AD25">
        <f>Table1[[#This Row],['[2000,2010']]]/S25</f>
        <v>0.25862068965517243</v>
      </c>
      <c r="AE25">
        <f>Table1[[#This Row],[Total papers]]/T25</f>
        <v>0.65357142857142858</v>
      </c>
      <c r="AF25">
        <f>Table1[[#This Row],[Average Paper per decade]]/U25</f>
        <v>0.6428571428571429</v>
      </c>
    </row>
    <row r="26" spans="1:32" x14ac:dyDescent="0.2">
      <c r="A26" s="11" t="s">
        <v>34</v>
      </c>
      <c r="B26">
        <v>10</v>
      </c>
      <c r="C26">
        <v>12</v>
      </c>
      <c r="D26">
        <v>32</v>
      </c>
      <c r="E26">
        <v>42</v>
      </c>
      <c r="F26">
        <v>32</v>
      </c>
      <c r="G26">
        <v>27</v>
      </c>
      <c r="H26">
        <v>22</v>
      </c>
      <c r="I26">
        <v>180</v>
      </c>
      <c r="J26">
        <v>45</v>
      </c>
      <c r="L26" s="1" t="s">
        <v>45</v>
      </c>
      <c r="M26">
        <v>0</v>
      </c>
      <c r="N26">
        <v>0</v>
      </c>
      <c r="O26">
        <v>0</v>
      </c>
      <c r="P26">
        <v>77</v>
      </c>
      <c r="Q26">
        <v>81</v>
      </c>
      <c r="R26">
        <v>62</v>
      </c>
      <c r="S26">
        <v>58</v>
      </c>
      <c r="T26">
        <v>278</v>
      </c>
      <c r="U26">
        <v>111</v>
      </c>
      <c r="X26" t="e">
        <f>Table1[[#This Row],['[1940,1949']]]/M26</f>
        <v>#DIV/0!</v>
      </c>
      <c r="Y26" t="e">
        <f>Table1[[#This Row],['[1950,1959']]]/N26</f>
        <v>#DIV/0!</v>
      </c>
      <c r="Z26" t="e">
        <f>Table1[[#This Row],['[1960,1969']]]/O26</f>
        <v>#DIV/0!</v>
      </c>
      <c r="AA26">
        <f>Table1[[#This Row],['[1970,1979']]]/P26</f>
        <v>0.54545454545454541</v>
      </c>
      <c r="AB26">
        <f>Table1[[#This Row],['[1980,1989']]]/Q26</f>
        <v>0.39506172839506171</v>
      </c>
      <c r="AC26">
        <f>Table1[[#This Row],['[1990,1999']]]/R26</f>
        <v>0.43548387096774194</v>
      </c>
      <c r="AD26">
        <f>Table1[[#This Row],['[2000,2010']]]/S26</f>
        <v>0.37931034482758619</v>
      </c>
      <c r="AE26">
        <f>Table1[[#This Row],[Total papers]]/T26</f>
        <v>0.64748201438848918</v>
      </c>
      <c r="AF26">
        <f>Table1[[#This Row],[Average Paper per decade]]/U26</f>
        <v>0.40540540540540543</v>
      </c>
    </row>
    <row r="27" spans="1:32" x14ac:dyDescent="0.2">
      <c r="A27" s="11" t="s">
        <v>35</v>
      </c>
      <c r="B27">
        <v>5</v>
      </c>
      <c r="C27">
        <v>10</v>
      </c>
      <c r="D27">
        <v>7</v>
      </c>
      <c r="E27">
        <v>33</v>
      </c>
      <c r="F27">
        <v>37</v>
      </c>
      <c r="G27">
        <v>26</v>
      </c>
      <c r="H27">
        <v>42</v>
      </c>
      <c r="I27">
        <v>162</v>
      </c>
      <c r="J27">
        <v>40</v>
      </c>
      <c r="L27" s="1" t="s">
        <v>35</v>
      </c>
      <c r="M27">
        <v>5</v>
      </c>
      <c r="N27">
        <v>12</v>
      </c>
      <c r="O27">
        <v>8</v>
      </c>
      <c r="P27">
        <v>50</v>
      </c>
      <c r="Q27">
        <v>65</v>
      </c>
      <c r="R27">
        <v>56</v>
      </c>
      <c r="S27">
        <v>82</v>
      </c>
      <c r="T27">
        <v>278</v>
      </c>
      <c r="U27">
        <v>69</v>
      </c>
      <c r="X27">
        <f>Table1[[#This Row],['[1940,1949']]]/M27</f>
        <v>1</v>
      </c>
      <c r="Y27">
        <f>Table1[[#This Row],['[1950,1959']]]/N27</f>
        <v>0.83333333333333337</v>
      </c>
      <c r="Z27">
        <f>Table1[[#This Row],['[1960,1969']]]/O27</f>
        <v>0.875</v>
      </c>
      <c r="AA27">
        <f>Table1[[#This Row],['[1970,1979']]]/P27</f>
        <v>0.66</v>
      </c>
      <c r="AB27">
        <f>Table1[[#This Row],['[1980,1989']]]/Q27</f>
        <v>0.56923076923076921</v>
      </c>
      <c r="AC27">
        <f>Table1[[#This Row],['[1990,1999']]]/R27</f>
        <v>0.4642857142857143</v>
      </c>
      <c r="AD27">
        <f>Table1[[#This Row],['[2000,2010']]]/S27</f>
        <v>0.51219512195121952</v>
      </c>
      <c r="AE27">
        <f>Table1[[#This Row],[Total papers]]/T27</f>
        <v>0.58273381294964033</v>
      </c>
      <c r="AF27">
        <f>Table1[[#This Row],[Average Paper per decade]]/U27</f>
        <v>0.57971014492753625</v>
      </c>
    </row>
    <row r="28" spans="1:32" x14ac:dyDescent="0.2">
      <c r="A28" s="11" t="s">
        <v>36</v>
      </c>
      <c r="B28">
        <v>9</v>
      </c>
      <c r="C28">
        <v>21</v>
      </c>
      <c r="D28">
        <v>33</v>
      </c>
      <c r="E28">
        <v>47</v>
      </c>
      <c r="F28">
        <v>28</v>
      </c>
      <c r="G28">
        <v>18</v>
      </c>
      <c r="H28">
        <v>3</v>
      </c>
      <c r="I28">
        <v>161</v>
      </c>
      <c r="J28">
        <v>40</v>
      </c>
      <c r="L28" s="1" t="s">
        <v>38</v>
      </c>
      <c r="M28">
        <v>0</v>
      </c>
      <c r="N28">
        <v>0</v>
      </c>
      <c r="O28">
        <v>8</v>
      </c>
      <c r="P28">
        <v>41</v>
      </c>
      <c r="Q28">
        <v>69</v>
      </c>
      <c r="R28">
        <v>68</v>
      </c>
      <c r="S28">
        <v>74</v>
      </c>
      <c r="T28">
        <v>260</v>
      </c>
      <c r="U28">
        <v>86</v>
      </c>
      <c r="X28" t="e">
        <f>Table1[[#This Row],['[1940,1949']]]/M28</f>
        <v>#DIV/0!</v>
      </c>
      <c r="Y28" t="e">
        <f>Table1[[#This Row],['[1950,1959']]]/N28</f>
        <v>#DIV/0!</v>
      </c>
      <c r="Z28">
        <f>Table1[[#This Row],['[1960,1969']]]/O28</f>
        <v>4.125</v>
      </c>
      <c r="AA28">
        <f>Table1[[#This Row],['[1970,1979']]]/P28</f>
        <v>1.1463414634146341</v>
      </c>
      <c r="AB28">
        <f>Table1[[#This Row],['[1980,1989']]]/Q28</f>
        <v>0.40579710144927539</v>
      </c>
      <c r="AC28">
        <f>Table1[[#This Row],['[1990,1999']]]/R28</f>
        <v>0.26470588235294118</v>
      </c>
      <c r="AD28">
        <f>Table1[[#This Row],['[2000,2010']]]/S28</f>
        <v>4.0540540540540543E-2</v>
      </c>
      <c r="AE28">
        <f>Table1[[#This Row],[Total papers]]/T28</f>
        <v>0.61923076923076925</v>
      </c>
      <c r="AF28">
        <f>Table1[[#This Row],[Average Paper per decade]]/U28</f>
        <v>0.46511627906976744</v>
      </c>
    </row>
    <row r="29" spans="1:32" x14ac:dyDescent="0.2">
      <c r="A29" s="11" t="s">
        <v>37</v>
      </c>
      <c r="B29">
        <v>3</v>
      </c>
      <c r="C29">
        <v>7</v>
      </c>
      <c r="D29">
        <v>6</v>
      </c>
      <c r="E29">
        <v>33</v>
      </c>
      <c r="F29">
        <v>33</v>
      </c>
      <c r="G29">
        <v>31</v>
      </c>
      <c r="H29">
        <v>37</v>
      </c>
      <c r="I29">
        <v>152</v>
      </c>
      <c r="J29">
        <v>38</v>
      </c>
      <c r="L29" s="1" t="s">
        <v>33</v>
      </c>
      <c r="M29">
        <v>21</v>
      </c>
      <c r="N29">
        <v>24</v>
      </c>
      <c r="O29">
        <v>36</v>
      </c>
      <c r="P29">
        <v>50</v>
      </c>
      <c r="Q29">
        <v>55</v>
      </c>
      <c r="R29">
        <v>39</v>
      </c>
      <c r="S29">
        <v>32</v>
      </c>
      <c r="T29">
        <v>257</v>
      </c>
      <c r="U29">
        <v>64</v>
      </c>
      <c r="X29">
        <f>Table1[[#This Row],['[1940,1949']]]/M29</f>
        <v>0.14285714285714285</v>
      </c>
      <c r="Y29">
        <f>Table1[[#This Row],['[1950,1959']]]/N29</f>
        <v>0.29166666666666669</v>
      </c>
      <c r="Z29">
        <f>Table1[[#This Row],['[1960,1969']]]/O29</f>
        <v>0.16666666666666666</v>
      </c>
      <c r="AA29">
        <f>Table1[[#This Row],['[1970,1979']]]/P29</f>
        <v>0.66</v>
      </c>
      <c r="AB29">
        <f>Table1[[#This Row],['[1980,1989']]]/Q29</f>
        <v>0.6</v>
      </c>
      <c r="AC29">
        <f>Table1[[#This Row],['[1990,1999']]]/R29</f>
        <v>0.79487179487179482</v>
      </c>
      <c r="AD29">
        <f>Table1[[#This Row],['[2000,2010']]]/S29</f>
        <v>1.15625</v>
      </c>
      <c r="AE29">
        <f>Table1[[#This Row],[Total papers]]/T29</f>
        <v>0.59143968871595332</v>
      </c>
      <c r="AF29">
        <f>Table1[[#This Row],[Average Paper per decade]]/U29</f>
        <v>0.59375</v>
      </c>
    </row>
    <row r="30" spans="1:32" x14ac:dyDescent="0.2">
      <c r="A30" s="11" t="s">
        <v>38</v>
      </c>
      <c r="B30">
        <v>0</v>
      </c>
      <c r="C30">
        <v>0</v>
      </c>
      <c r="D30">
        <v>5</v>
      </c>
      <c r="E30">
        <v>30</v>
      </c>
      <c r="F30">
        <v>42</v>
      </c>
      <c r="G30">
        <v>40</v>
      </c>
      <c r="H30">
        <v>33</v>
      </c>
      <c r="I30">
        <v>151</v>
      </c>
      <c r="J30">
        <v>50</v>
      </c>
      <c r="L30" s="1" t="s">
        <v>42</v>
      </c>
      <c r="M30">
        <v>0</v>
      </c>
      <c r="N30">
        <v>2</v>
      </c>
      <c r="O30">
        <v>11</v>
      </c>
      <c r="P30">
        <v>79</v>
      </c>
      <c r="Q30">
        <v>57</v>
      </c>
      <c r="R30">
        <v>44</v>
      </c>
      <c r="S30">
        <v>54</v>
      </c>
      <c r="T30">
        <v>247</v>
      </c>
      <c r="U30">
        <v>70</v>
      </c>
      <c r="X30" t="e">
        <f>Table1[[#This Row],['[1940,1949']]]/M30</f>
        <v>#DIV/0!</v>
      </c>
      <c r="Y30">
        <f>Table1[[#This Row],['[1950,1959']]]/N30</f>
        <v>0</v>
      </c>
      <c r="Z30">
        <f>Table1[[#This Row],['[1960,1969']]]/O30</f>
        <v>0.45454545454545453</v>
      </c>
      <c r="AA30">
        <f>Table1[[#This Row],['[1970,1979']]]/P30</f>
        <v>0.379746835443038</v>
      </c>
      <c r="AB30">
        <f>Table1[[#This Row],['[1980,1989']]]/Q30</f>
        <v>0.73684210526315785</v>
      </c>
      <c r="AC30">
        <f>Table1[[#This Row],['[1990,1999']]]/R30</f>
        <v>0.90909090909090906</v>
      </c>
      <c r="AD30">
        <f>Table1[[#This Row],['[2000,2010']]]/S30</f>
        <v>0.61111111111111116</v>
      </c>
      <c r="AE30">
        <f>Table1[[#This Row],[Total papers]]/T30</f>
        <v>0.61133603238866396</v>
      </c>
      <c r="AF30">
        <f>Table1[[#This Row],[Average Paper per decade]]/U30</f>
        <v>0.7142857142857143</v>
      </c>
    </row>
    <row r="31" spans="1:32" x14ac:dyDescent="0.2">
      <c r="A31" s="11" t="s">
        <v>39</v>
      </c>
      <c r="B31">
        <v>0</v>
      </c>
      <c r="C31">
        <v>35</v>
      </c>
      <c r="D31">
        <v>42</v>
      </c>
      <c r="E31">
        <v>36</v>
      </c>
      <c r="F31">
        <v>13</v>
      </c>
      <c r="G31">
        <v>6</v>
      </c>
      <c r="H31">
        <v>7</v>
      </c>
      <c r="I31">
        <v>141</v>
      </c>
      <c r="J31">
        <v>40</v>
      </c>
      <c r="L31" s="1" t="s">
        <v>37</v>
      </c>
      <c r="M31">
        <v>3</v>
      </c>
      <c r="N31">
        <v>7</v>
      </c>
      <c r="O31">
        <v>9</v>
      </c>
      <c r="P31">
        <v>51</v>
      </c>
      <c r="Q31">
        <v>46</v>
      </c>
      <c r="R31">
        <v>47</v>
      </c>
      <c r="S31">
        <v>76</v>
      </c>
      <c r="T31">
        <v>239</v>
      </c>
      <c r="U31">
        <v>59</v>
      </c>
      <c r="X31">
        <f>Table1[[#This Row],['[1940,1949']]]/M31</f>
        <v>0</v>
      </c>
      <c r="Y31">
        <f>Table1[[#This Row],['[1950,1959']]]/N31</f>
        <v>5</v>
      </c>
      <c r="Z31">
        <f>Table1[[#This Row],['[1960,1969']]]/O31</f>
        <v>4.666666666666667</v>
      </c>
      <c r="AA31">
        <f>Table1[[#This Row],['[1970,1979']]]/P31</f>
        <v>0.70588235294117652</v>
      </c>
      <c r="AB31">
        <f>Table1[[#This Row],['[1980,1989']]]/Q31</f>
        <v>0.28260869565217389</v>
      </c>
      <c r="AC31">
        <f>Table1[[#This Row],['[1990,1999']]]/R31</f>
        <v>0.1276595744680851</v>
      </c>
      <c r="AD31">
        <f>Table1[[#This Row],['[2000,2010']]]/S31</f>
        <v>9.2105263157894732E-2</v>
      </c>
      <c r="AE31">
        <f>Table1[[#This Row],[Total papers]]/T31</f>
        <v>0.58995815899581594</v>
      </c>
      <c r="AF31">
        <f>Table1[[#This Row],[Average Paper per decade]]/U31</f>
        <v>0.67796610169491522</v>
      </c>
    </row>
    <row r="32" spans="1:32" x14ac:dyDescent="0.2">
      <c r="A32" s="11" t="s">
        <v>40</v>
      </c>
      <c r="B32">
        <v>0</v>
      </c>
      <c r="C32">
        <v>0</v>
      </c>
      <c r="D32">
        <v>14</v>
      </c>
      <c r="E32">
        <v>30</v>
      </c>
      <c r="F32">
        <v>63</v>
      </c>
      <c r="G32">
        <v>21</v>
      </c>
      <c r="H32">
        <v>10</v>
      </c>
      <c r="I32">
        <v>140</v>
      </c>
      <c r="J32">
        <v>46</v>
      </c>
      <c r="L32" s="1" t="s">
        <v>43</v>
      </c>
      <c r="M32">
        <v>20</v>
      </c>
      <c r="N32">
        <v>8</v>
      </c>
      <c r="O32">
        <v>16</v>
      </c>
      <c r="P32">
        <v>43</v>
      </c>
      <c r="Q32">
        <v>48</v>
      </c>
      <c r="R32">
        <v>36</v>
      </c>
      <c r="S32">
        <v>50</v>
      </c>
      <c r="T32">
        <v>221</v>
      </c>
      <c r="U32">
        <v>55</v>
      </c>
      <c r="X32">
        <f>Table1[[#This Row],['[1940,1949']]]/M32</f>
        <v>0</v>
      </c>
      <c r="Y32">
        <f>Table1[[#This Row],['[1950,1959']]]/N32</f>
        <v>0</v>
      </c>
      <c r="Z32">
        <f>Table1[[#This Row],['[1960,1969']]]/O32</f>
        <v>0.875</v>
      </c>
      <c r="AA32">
        <f>Table1[[#This Row],['[1970,1979']]]/P32</f>
        <v>0.69767441860465118</v>
      </c>
      <c r="AB32">
        <f>Table1[[#This Row],['[1980,1989']]]/Q32</f>
        <v>1.3125</v>
      </c>
      <c r="AC32">
        <f>Table1[[#This Row],['[1990,1999']]]/R32</f>
        <v>0.58333333333333337</v>
      </c>
      <c r="AD32">
        <f>Table1[[#This Row],['[2000,2010']]]/S32</f>
        <v>0.2</v>
      </c>
      <c r="AE32">
        <f>Table1[[#This Row],[Total papers]]/T32</f>
        <v>0.63348416289592757</v>
      </c>
      <c r="AF32">
        <f>Table1[[#This Row],[Average Paper per decade]]/U32</f>
        <v>0.83636363636363631</v>
      </c>
    </row>
    <row r="33" spans="1:32" x14ac:dyDescent="0.2">
      <c r="A33" s="11" t="s">
        <v>41</v>
      </c>
      <c r="B33">
        <v>1</v>
      </c>
      <c r="C33">
        <v>22</v>
      </c>
      <c r="D33">
        <v>44</v>
      </c>
      <c r="E33">
        <v>24</v>
      </c>
      <c r="F33">
        <v>26</v>
      </c>
      <c r="G33">
        <v>14</v>
      </c>
      <c r="H33">
        <v>6</v>
      </c>
      <c r="I33">
        <v>138</v>
      </c>
      <c r="J33">
        <v>34</v>
      </c>
      <c r="L33" s="1" t="s">
        <v>39</v>
      </c>
      <c r="M33">
        <v>0</v>
      </c>
      <c r="N33">
        <v>41</v>
      </c>
      <c r="O33">
        <v>62</v>
      </c>
      <c r="P33">
        <v>57</v>
      </c>
      <c r="Q33">
        <v>25</v>
      </c>
      <c r="R33">
        <v>14</v>
      </c>
      <c r="S33">
        <v>19</v>
      </c>
      <c r="T33">
        <v>218</v>
      </c>
      <c r="U33">
        <v>62</v>
      </c>
      <c r="X33" t="e">
        <f>Table1[[#This Row],['[1940,1949']]]/M33</f>
        <v>#DIV/0!</v>
      </c>
      <c r="Y33">
        <f>Table1[[#This Row],['[1950,1959']]]/N33</f>
        <v>0.53658536585365857</v>
      </c>
      <c r="Z33">
        <f>Table1[[#This Row],['[1960,1969']]]/O33</f>
        <v>0.70967741935483875</v>
      </c>
      <c r="AA33">
        <f>Table1[[#This Row],['[1970,1979']]]/P33</f>
        <v>0.42105263157894735</v>
      </c>
      <c r="AB33">
        <f>Table1[[#This Row],['[1980,1989']]]/Q33</f>
        <v>1.04</v>
      </c>
      <c r="AC33">
        <f>Table1[[#This Row],['[1990,1999']]]/R33</f>
        <v>1</v>
      </c>
      <c r="AD33">
        <f>Table1[[#This Row],['[2000,2010']]]/S33</f>
        <v>0.31578947368421051</v>
      </c>
      <c r="AE33">
        <f>Table1[[#This Row],[Total papers]]/T33</f>
        <v>0.6330275229357798</v>
      </c>
      <c r="AF33">
        <f>Table1[[#This Row],[Average Paper per decade]]/U33</f>
        <v>0.54838709677419351</v>
      </c>
    </row>
    <row r="34" spans="1:32" x14ac:dyDescent="0.2">
      <c r="A34" s="11" t="s">
        <v>42</v>
      </c>
      <c r="B34">
        <v>0</v>
      </c>
      <c r="C34">
        <v>2</v>
      </c>
      <c r="D34">
        <v>6</v>
      </c>
      <c r="E34">
        <v>49</v>
      </c>
      <c r="F34">
        <v>34</v>
      </c>
      <c r="G34">
        <v>18</v>
      </c>
      <c r="H34">
        <v>24</v>
      </c>
      <c r="I34">
        <v>135</v>
      </c>
      <c r="J34">
        <v>38</v>
      </c>
      <c r="L34" s="1" t="s">
        <v>36</v>
      </c>
      <c r="M34">
        <v>9</v>
      </c>
      <c r="N34">
        <v>24</v>
      </c>
      <c r="O34">
        <v>43</v>
      </c>
      <c r="P34">
        <v>58</v>
      </c>
      <c r="Q34">
        <v>40</v>
      </c>
      <c r="R34">
        <v>32</v>
      </c>
      <c r="S34">
        <v>8</v>
      </c>
      <c r="T34">
        <v>214</v>
      </c>
      <c r="U34">
        <v>53</v>
      </c>
      <c r="X34">
        <f>Table1[[#This Row],['[1940,1949']]]/M34</f>
        <v>0</v>
      </c>
      <c r="Y34">
        <f>Table1[[#This Row],['[1950,1959']]]/N34</f>
        <v>8.3333333333333329E-2</v>
      </c>
      <c r="Z34">
        <f>Table1[[#This Row],['[1960,1969']]]/O34</f>
        <v>0.13953488372093023</v>
      </c>
      <c r="AA34">
        <f>Table1[[#This Row],['[1970,1979']]]/P34</f>
        <v>0.84482758620689657</v>
      </c>
      <c r="AB34">
        <f>Table1[[#This Row],['[1980,1989']]]/Q34</f>
        <v>0.85</v>
      </c>
      <c r="AC34">
        <f>Table1[[#This Row],['[1990,1999']]]/R34</f>
        <v>0.5625</v>
      </c>
      <c r="AD34">
        <f>Table1[[#This Row],['[2000,2010']]]/S34</f>
        <v>3</v>
      </c>
      <c r="AE34">
        <f>Table1[[#This Row],[Total papers]]/T34</f>
        <v>0.63084112149532712</v>
      </c>
      <c r="AF34">
        <f>Table1[[#This Row],[Average Paper per decade]]/U34</f>
        <v>0.71698113207547165</v>
      </c>
    </row>
    <row r="35" spans="1:32" x14ac:dyDescent="0.2">
      <c r="A35" s="11" t="s">
        <v>43</v>
      </c>
      <c r="B35">
        <v>16</v>
      </c>
      <c r="C35">
        <v>6</v>
      </c>
      <c r="D35">
        <v>9</v>
      </c>
      <c r="E35">
        <v>31</v>
      </c>
      <c r="F35">
        <v>31</v>
      </c>
      <c r="G35">
        <v>17</v>
      </c>
      <c r="H35">
        <v>22</v>
      </c>
      <c r="I35">
        <v>135</v>
      </c>
      <c r="J35">
        <v>33</v>
      </c>
      <c r="L35" s="1" t="s">
        <v>40</v>
      </c>
      <c r="M35">
        <v>0</v>
      </c>
      <c r="N35">
        <v>0</v>
      </c>
      <c r="O35">
        <v>17</v>
      </c>
      <c r="P35">
        <v>38</v>
      </c>
      <c r="Q35">
        <v>100</v>
      </c>
      <c r="R35">
        <v>39</v>
      </c>
      <c r="S35">
        <v>19</v>
      </c>
      <c r="T35">
        <v>213</v>
      </c>
      <c r="U35">
        <v>71</v>
      </c>
      <c r="X35" t="e">
        <f>Table1[[#This Row],['[1940,1949']]]/M35</f>
        <v>#DIV/0!</v>
      </c>
      <c r="Y35" t="e">
        <f>Table1[[#This Row],['[1950,1959']]]/N35</f>
        <v>#DIV/0!</v>
      </c>
      <c r="Z35">
        <f>Table1[[#This Row],['[1960,1969']]]/O35</f>
        <v>0.52941176470588236</v>
      </c>
      <c r="AA35">
        <f>Table1[[#This Row],['[1970,1979']]]/P35</f>
        <v>0.81578947368421051</v>
      </c>
      <c r="AB35">
        <f>Table1[[#This Row],['[1980,1989']]]/Q35</f>
        <v>0.31</v>
      </c>
      <c r="AC35">
        <f>Table1[[#This Row],['[1990,1999']]]/R35</f>
        <v>0.4358974358974359</v>
      </c>
      <c r="AD35">
        <f>Table1[[#This Row],['[2000,2010']]]/S35</f>
        <v>1.1578947368421053</v>
      </c>
      <c r="AE35">
        <f>Table1[[#This Row],[Total papers]]/T35</f>
        <v>0.63380281690140849</v>
      </c>
      <c r="AF35">
        <f>Table1[[#This Row],[Average Paper per decade]]/U35</f>
        <v>0.46478873239436619</v>
      </c>
    </row>
    <row r="36" spans="1:32" x14ac:dyDescent="0.2">
      <c r="A36" s="11" t="s">
        <v>44</v>
      </c>
      <c r="B36">
        <v>13</v>
      </c>
      <c r="C36">
        <v>27</v>
      </c>
      <c r="D36">
        <v>25</v>
      </c>
      <c r="E36">
        <v>24</v>
      </c>
      <c r="F36">
        <v>14</v>
      </c>
      <c r="G36">
        <v>14</v>
      </c>
      <c r="H36">
        <v>14</v>
      </c>
      <c r="I36">
        <v>134</v>
      </c>
      <c r="J36">
        <v>33</v>
      </c>
      <c r="L36" s="1" t="s">
        <v>52</v>
      </c>
      <c r="M36">
        <v>0</v>
      </c>
      <c r="N36">
        <v>0</v>
      </c>
      <c r="O36">
        <v>1</v>
      </c>
      <c r="P36">
        <v>9</v>
      </c>
      <c r="Q36">
        <v>35</v>
      </c>
      <c r="R36">
        <v>82</v>
      </c>
      <c r="S36">
        <v>69</v>
      </c>
      <c r="T36">
        <v>196</v>
      </c>
      <c r="U36">
        <v>65</v>
      </c>
      <c r="X36" t="e">
        <f>Table1[[#This Row],['[1940,1949']]]/M36</f>
        <v>#DIV/0!</v>
      </c>
      <c r="Y36" t="e">
        <f>Table1[[#This Row],['[1950,1959']]]/N36</f>
        <v>#DIV/0!</v>
      </c>
      <c r="Z36">
        <f>Table1[[#This Row],['[1960,1969']]]/O36</f>
        <v>25</v>
      </c>
      <c r="AA36">
        <f>Table1[[#This Row],['[1970,1979']]]/P36</f>
        <v>2.6666666666666665</v>
      </c>
      <c r="AB36">
        <f>Table1[[#This Row],['[1980,1989']]]/Q36</f>
        <v>0.4</v>
      </c>
      <c r="AC36">
        <f>Table1[[#This Row],['[1990,1999']]]/R36</f>
        <v>0.17073170731707318</v>
      </c>
      <c r="AD36">
        <f>Table1[[#This Row],['[2000,2010']]]/S36</f>
        <v>0.20289855072463769</v>
      </c>
      <c r="AE36">
        <f>Table1[[#This Row],[Total papers]]/T36</f>
        <v>0.68367346938775508</v>
      </c>
      <c r="AF36">
        <f>Table1[[#This Row],[Average Paper per decade]]/U36</f>
        <v>0.50769230769230766</v>
      </c>
    </row>
    <row r="37" spans="1:32" x14ac:dyDescent="0.2">
      <c r="A37" s="11" t="s">
        <v>45</v>
      </c>
      <c r="B37">
        <v>0</v>
      </c>
      <c r="C37">
        <v>0</v>
      </c>
      <c r="D37">
        <v>0</v>
      </c>
      <c r="E37">
        <v>42</v>
      </c>
      <c r="F37">
        <v>45</v>
      </c>
      <c r="G37">
        <v>26</v>
      </c>
      <c r="H37">
        <v>18</v>
      </c>
      <c r="I37">
        <v>132</v>
      </c>
      <c r="J37">
        <v>53</v>
      </c>
      <c r="L37" s="1" t="s">
        <v>41</v>
      </c>
      <c r="M37">
        <v>1</v>
      </c>
      <c r="N37">
        <v>23</v>
      </c>
      <c r="O37">
        <v>50</v>
      </c>
      <c r="P37">
        <v>34</v>
      </c>
      <c r="Q37">
        <v>45</v>
      </c>
      <c r="R37">
        <v>29</v>
      </c>
      <c r="S37">
        <v>14</v>
      </c>
      <c r="T37">
        <v>196</v>
      </c>
      <c r="U37">
        <v>49</v>
      </c>
      <c r="X37">
        <f>Table1[[#This Row],['[1940,1949']]]/M37</f>
        <v>0</v>
      </c>
      <c r="Y37">
        <f>Table1[[#This Row],['[1950,1959']]]/N37</f>
        <v>0</v>
      </c>
      <c r="Z37">
        <f>Table1[[#This Row],['[1960,1969']]]/O37</f>
        <v>0</v>
      </c>
      <c r="AA37">
        <f>Table1[[#This Row],['[1970,1979']]]/P37</f>
        <v>1.2352941176470589</v>
      </c>
      <c r="AB37">
        <f>Table1[[#This Row],['[1980,1989']]]/Q37</f>
        <v>1</v>
      </c>
      <c r="AC37">
        <f>Table1[[#This Row],['[1990,1999']]]/R37</f>
        <v>0.89655172413793105</v>
      </c>
      <c r="AD37">
        <f>Table1[[#This Row],['[2000,2010']]]/S37</f>
        <v>1.2857142857142858</v>
      </c>
      <c r="AE37">
        <f>Table1[[#This Row],[Total papers]]/T37</f>
        <v>0.67346938775510201</v>
      </c>
      <c r="AF37">
        <f>Table1[[#This Row],[Average Paper per decade]]/U37</f>
        <v>1.0816326530612246</v>
      </c>
    </row>
    <row r="38" spans="1:32" x14ac:dyDescent="0.2">
      <c r="A38" s="11" t="s">
        <v>46</v>
      </c>
      <c r="B38">
        <v>96</v>
      </c>
      <c r="C38">
        <v>19</v>
      </c>
      <c r="D38">
        <v>7</v>
      </c>
      <c r="E38">
        <v>2</v>
      </c>
      <c r="F38">
        <v>0</v>
      </c>
      <c r="G38">
        <v>0</v>
      </c>
      <c r="H38">
        <v>0</v>
      </c>
      <c r="I38">
        <v>125</v>
      </c>
      <c r="J38">
        <v>50</v>
      </c>
      <c r="L38" s="1" t="s">
        <v>60</v>
      </c>
      <c r="M38">
        <v>1</v>
      </c>
      <c r="N38">
        <v>0</v>
      </c>
      <c r="O38">
        <v>0</v>
      </c>
      <c r="P38">
        <v>8</v>
      </c>
      <c r="Q38">
        <v>23</v>
      </c>
      <c r="R38">
        <v>65</v>
      </c>
      <c r="S38">
        <v>97</v>
      </c>
      <c r="T38">
        <v>194</v>
      </c>
      <c r="U38">
        <v>64</v>
      </c>
      <c r="X38">
        <f>Table1[[#This Row],['[1940,1949']]]/M38</f>
        <v>96</v>
      </c>
      <c r="Y38" t="e">
        <f>Table1[[#This Row],['[1950,1959']]]/N38</f>
        <v>#DIV/0!</v>
      </c>
      <c r="Z38" t="e">
        <f>Table1[[#This Row],['[1960,1969']]]/O38</f>
        <v>#DIV/0!</v>
      </c>
      <c r="AA38">
        <f>Table1[[#This Row],['[1970,1979']]]/P38</f>
        <v>0.25</v>
      </c>
      <c r="AB38">
        <f>Table1[[#This Row],['[1980,1989']]]/Q38</f>
        <v>0</v>
      </c>
      <c r="AC38">
        <f>Table1[[#This Row],['[1990,1999']]]/R38</f>
        <v>0</v>
      </c>
      <c r="AD38">
        <f>Table1[[#This Row],['[2000,2010']]]/S38</f>
        <v>0</v>
      </c>
      <c r="AE38">
        <f>Table1[[#This Row],[Total papers]]/T38</f>
        <v>0.64432989690721654</v>
      </c>
      <c r="AF38">
        <f>Table1[[#This Row],[Average Paper per decade]]/U38</f>
        <v>0.78125</v>
      </c>
    </row>
    <row r="39" spans="1:32" x14ac:dyDescent="0.2">
      <c r="A39" s="11" t="s">
        <v>47</v>
      </c>
      <c r="B39">
        <v>3</v>
      </c>
      <c r="C39">
        <v>19</v>
      </c>
      <c r="D39">
        <v>15</v>
      </c>
      <c r="E39">
        <v>21</v>
      </c>
      <c r="F39">
        <v>21</v>
      </c>
      <c r="G39">
        <v>28</v>
      </c>
      <c r="H39">
        <v>15</v>
      </c>
      <c r="I39">
        <v>124</v>
      </c>
      <c r="J39">
        <v>31</v>
      </c>
      <c r="L39" s="1" t="s">
        <v>53</v>
      </c>
      <c r="M39">
        <v>0</v>
      </c>
      <c r="N39">
        <v>2</v>
      </c>
      <c r="O39">
        <v>0</v>
      </c>
      <c r="P39">
        <v>35</v>
      </c>
      <c r="Q39">
        <v>62</v>
      </c>
      <c r="R39">
        <v>35</v>
      </c>
      <c r="S39">
        <v>59</v>
      </c>
      <c r="T39">
        <v>193</v>
      </c>
      <c r="U39">
        <v>64</v>
      </c>
      <c r="X39" t="e">
        <f>Table1[[#This Row],['[1940,1949']]]/M39</f>
        <v>#DIV/0!</v>
      </c>
      <c r="Y39">
        <f>Table1[[#This Row],['[1950,1959']]]/N39</f>
        <v>9.5</v>
      </c>
      <c r="Z39" t="e">
        <f>Table1[[#This Row],['[1960,1969']]]/O39</f>
        <v>#DIV/0!</v>
      </c>
      <c r="AA39">
        <f>Table1[[#This Row],['[1970,1979']]]/P39</f>
        <v>0.6</v>
      </c>
      <c r="AB39">
        <f>Table1[[#This Row],['[1980,1989']]]/Q39</f>
        <v>0.33870967741935482</v>
      </c>
      <c r="AC39">
        <f>Table1[[#This Row],['[1990,1999']]]/R39</f>
        <v>0.8</v>
      </c>
      <c r="AD39">
        <f>Table1[[#This Row],['[2000,2010']]]/S39</f>
        <v>0.25423728813559321</v>
      </c>
      <c r="AE39">
        <f>Table1[[#This Row],[Total papers]]/T39</f>
        <v>0.6424870466321243</v>
      </c>
      <c r="AF39">
        <f>Table1[[#This Row],[Average Paper per decade]]/U39</f>
        <v>0.484375</v>
      </c>
    </row>
    <row r="40" spans="1:32" x14ac:dyDescent="0.2">
      <c r="A40" s="11" t="s">
        <v>48</v>
      </c>
      <c r="B40">
        <v>16</v>
      </c>
      <c r="C40">
        <v>8</v>
      </c>
      <c r="D40">
        <v>19</v>
      </c>
      <c r="E40">
        <v>28</v>
      </c>
      <c r="F40">
        <v>26</v>
      </c>
      <c r="G40">
        <v>8</v>
      </c>
      <c r="H40">
        <v>11</v>
      </c>
      <c r="I40">
        <v>119</v>
      </c>
      <c r="J40">
        <v>29</v>
      </c>
      <c r="L40" s="1" t="s">
        <v>47</v>
      </c>
      <c r="M40">
        <v>3</v>
      </c>
      <c r="N40">
        <v>24</v>
      </c>
      <c r="O40">
        <v>17</v>
      </c>
      <c r="P40">
        <v>27</v>
      </c>
      <c r="Q40">
        <v>31</v>
      </c>
      <c r="R40">
        <v>51</v>
      </c>
      <c r="S40">
        <v>37</v>
      </c>
      <c r="T40">
        <v>190</v>
      </c>
      <c r="U40">
        <v>47</v>
      </c>
      <c r="X40">
        <f>Table1[[#This Row],['[1940,1949']]]/M40</f>
        <v>5.333333333333333</v>
      </c>
      <c r="Y40">
        <f>Table1[[#This Row],['[1950,1959']]]/N40</f>
        <v>0.33333333333333331</v>
      </c>
      <c r="Z40">
        <f>Table1[[#This Row],['[1960,1969']]]/O40</f>
        <v>1.1176470588235294</v>
      </c>
      <c r="AA40">
        <f>Table1[[#This Row],['[1970,1979']]]/P40</f>
        <v>1.037037037037037</v>
      </c>
      <c r="AB40">
        <f>Table1[[#This Row],['[1980,1989']]]/Q40</f>
        <v>0.83870967741935487</v>
      </c>
      <c r="AC40">
        <f>Table1[[#This Row],['[1990,1999']]]/R40</f>
        <v>0.15686274509803921</v>
      </c>
      <c r="AD40">
        <f>Table1[[#This Row],['[2000,2010']]]/S40</f>
        <v>0.29729729729729731</v>
      </c>
      <c r="AE40">
        <f>Table1[[#This Row],[Total papers]]/T40</f>
        <v>0.62631578947368416</v>
      </c>
      <c r="AF40">
        <f>Table1[[#This Row],[Average Paper per decade]]/U40</f>
        <v>0.61702127659574468</v>
      </c>
    </row>
    <row r="41" spans="1:32" x14ac:dyDescent="0.2">
      <c r="A41" s="11" t="s">
        <v>49</v>
      </c>
      <c r="B41">
        <v>5</v>
      </c>
      <c r="C41">
        <v>14</v>
      </c>
      <c r="D41">
        <v>24</v>
      </c>
      <c r="E41">
        <v>38</v>
      </c>
      <c r="F41">
        <v>12</v>
      </c>
      <c r="G41">
        <v>10</v>
      </c>
      <c r="H41">
        <v>8</v>
      </c>
      <c r="I41">
        <v>112</v>
      </c>
      <c r="J41">
        <v>28</v>
      </c>
      <c r="L41" s="1" t="s">
        <v>44</v>
      </c>
      <c r="M41">
        <v>13</v>
      </c>
      <c r="N41">
        <v>34</v>
      </c>
      <c r="O41">
        <v>30</v>
      </c>
      <c r="P41">
        <v>32</v>
      </c>
      <c r="Q41">
        <v>21</v>
      </c>
      <c r="R41">
        <v>21</v>
      </c>
      <c r="S41">
        <v>27</v>
      </c>
      <c r="T41">
        <v>178</v>
      </c>
      <c r="U41">
        <v>44</v>
      </c>
      <c r="X41">
        <f>Table1[[#This Row],['[1940,1949']]]/M41</f>
        <v>0.38461538461538464</v>
      </c>
      <c r="Y41">
        <f>Table1[[#This Row],['[1950,1959']]]/N41</f>
        <v>0.41176470588235292</v>
      </c>
      <c r="Z41">
        <f>Table1[[#This Row],['[1960,1969']]]/O41</f>
        <v>0.8</v>
      </c>
      <c r="AA41">
        <f>Table1[[#This Row],['[1970,1979']]]/P41</f>
        <v>1.1875</v>
      </c>
      <c r="AB41">
        <f>Table1[[#This Row],['[1980,1989']]]/Q41</f>
        <v>0.5714285714285714</v>
      </c>
      <c r="AC41">
        <f>Table1[[#This Row],['[1990,1999']]]/R41</f>
        <v>0.47619047619047616</v>
      </c>
      <c r="AD41">
        <f>Table1[[#This Row],['[2000,2010']]]/S41</f>
        <v>0.29629629629629628</v>
      </c>
      <c r="AE41">
        <f>Table1[[#This Row],[Total papers]]/T41</f>
        <v>0.6292134831460674</v>
      </c>
      <c r="AF41">
        <f>Table1[[#This Row],[Average Paper per decade]]/U41</f>
        <v>0.63636363636363635</v>
      </c>
    </row>
    <row r="42" spans="1:32" x14ac:dyDescent="0.2">
      <c r="A42" s="11" t="s">
        <v>50</v>
      </c>
      <c r="B42">
        <v>7</v>
      </c>
      <c r="C42">
        <v>24</v>
      </c>
      <c r="D42">
        <v>18</v>
      </c>
      <c r="E42">
        <v>12</v>
      </c>
      <c r="F42">
        <v>16</v>
      </c>
      <c r="G42">
        <v>13</v>
      </c>
      <c r="H42">
        <v>13</v>
      </c>
      <c r="I42">
        <v>104</v>
      </c>
      <c r="J42">
        <v>26</v>
      </c>
      <c r="L42" s="1" t="s">
        <v>48</v>
      </c>
      <c r="M42">
        <v>20</v>
      </c>
      <c r="N42">
        <v>12</v>
      </c>
      <c r="O42">
        <v>23</v>
      </c>
      <c r="P42">
        <v>38</v>
      </c>
      <c r="Q42">
        <v>36</v>
      </c>
      <c r="R42">
        <v>12</v>
      </c>
      <c r="S42">
        <v>33</v>
      </c>
      <c r="T42">
        <v>174</v>
      </c>
      <c r="U42">
        <v>43</v>
      </c>
      <c r="X42">
        <f>Table1[[#This Row],['[1940,1949']]]/M42</f>
        <v>0.35</v>
      </c>
      <c r="Y42">
        <f>Table1[[#This Row],['[1950,1959']]]/N42</f>
        <v>2</v>
      </c>
      <c r="Z42">
        <f>Table1[[#This Row],['[1960,1969']]]/O42</f>
        <v>0.78260869565217395</v>
      </c>
      <c r="AA42">
        <f>Table1[[#This Row],['[1970,1979']]]/P42</f>
        <v>0.31578947368421051</v>
      </c>
      <c r="AB42">
        <f>Table1[[#This Row],['[1980,1989']]]/Q42</f>
        <v>0.44444444444444442</v>
      </c>
      <c r="AC42">
        <f>Table1[[#This Row],['[1990,1999']]]/R42</f>
        <v>1.0833333333333333</v>
      </c>
      <c r="AD42">
        <f>Table1[[#This Row],['[2000,2010']]]/S42</f>
        <v>0.39393939393939392</v>
      </c>
      <c r="AE42">
        <f>Table1[[#This Row],[Total papers]]/T42</f>
        <v>0.5977011494252874</v>
      </c>
      <c r="AF42">
        <f>Table1[[#This Row],[Average Paper per decade]]/U42</f>
        <v>0.60465116279069764</v>
      </c>
    </row>
    <row r="43" spans="1:32" x14ac:dyDescent="0.2">
      <c r="A43" s="11" t="s">
        <v>51</v>
      </c>
      <c r="B43">
        <v>18</v>
      </c>
      <c r="C43">
        <v>21</v>
      </c>
      <c r="D43">
        <v>20</v>
      </c>
      <c r="E43">
        <v>21</v>
      </c>
      <c r="F43">
        <v>12</v>
      </c>
      <c r="G43">
        <v>4</v>
      </c>
      <c r="H43">
        <v>5</v>
      </c>
      <c r="I43">
        <v>103</v>
      </c>
      <c r="J43">
        <v>25</v>
      </c>
      <c r="L43" s="1" t="s">
        <v>56</v>
      </c>
      <c r="M43">
        <v>0</v>
      </c>
      <c r="N43">
        <v>0</v>
      </c>
      <c r="O43">
        <v>0</v>
      </c>
      <c r="P43">
        <v>15</v>
      </c>
      <c r="Q43">
        <v>47</v>
      </c>
      <c r="R43">
        <v>52</v>
      </c>
      <c r="S43">
        <v>58</v>
      </c>
      <c r="T43">
        <v>172</v>
      </c>
      <c r="U43">
        <v>68</v>
      </c>
      <c r="X43" t="e">
        <f>Table1[[#This Row],['[1940,1949']]]/M43</f>
        <v>#DIV/0!</v>
      </c>
      <c r="Y43" t="e">
        <f>Table1[[#This Row],['[1950,1959']]]/N43</f>
        <v>#DIV/0!</v>
      </c>
      <c r="Z43" t="e">
        <f>Table1[[#This Row],['[1960,1969']]]/O43</f>
        <v>#DIV/0!</v>
      </c>
      <c r="AA43">
        <f>Table1[[#This Row],['[1970,1979']]]/P43</f>
        <v>1.4</v>
      </c>
      <c r="AB43">
        <f>Table1[[#This Row],['[1980,1989']]]/Q43</f>
        <v>0.25531914893617019</v>
      </c>
      <c r="AC43">
        <f>Table1[[#This Row],['[1990,1999']]]/R43</f>
        <v>7.6923076923076927E-2</v>
      </c>
      <c r="AD43">
        <f>Table1[[#This Row],['[2000,2010']]]/S43</f>
        <v>8.6206896551724144E-2</v>
      </c>
      <c r="AE43">
        <f>Table1[[#This Row],[Total papers]]/T43</f>
        <v>0.59883720930232553</v>
      </c>
      <c r="AF43">
        <f>Table1[[#This Row],[Average Paper per decade]]/U43</f>
        <v>0.36764705882352944</v>
      </c>
    </row>
    <row r="44" spans="1:32" x14ac:dyDescent="0.2">
      <c r="A44" s="11" t="s">
        <v>52</v>
      </c>
      <c r="B44">
        <v>0</v>
      </c>
      <c r="C44">
        <v>0</v>
      </c>
      <c r="D44">
        <v>1</v>
      </c>
      <c r="E44">
        <v>5</v>
      </c>
      <c r="F44">
        <v>22</v>
      </c>
      <c r="G44">
        <v>40</v>
      </c>
      <c r="H44">
        <v>29</v>
      </c>
      <c r="I44">
        <v>98</v>
      </c>
      <c r="J44">
        <v>32</v>
      </c>
      <c r="L44" s="1" t="s">
        <v>49</v>
      </c>
      <c r="M44">
        <v>6</v>
      </c>
      <c r="N44">
        <v>15</v>
      </c>
      <c r="O44">
        <v>26</v>
      </c>
      <c r="P44">
        <v>50</v>
      </c>
      <c r="Q44">
        <v>19</v>
      </c>
      <c r="R44">
        <v>19</v>
      </c>
      <c r="S44">
        <v>20</v>
      </c>
      <c r="T44">
        <v>155</v>
      </c>
      <c r="U44">
        <v>38</v>
      </c>
      <c r="X44">
        <f>Table1[[#This Row],['[1940,1949']]]/M44</f>
        <v>0</v>
      </c>
      <c r="Y44">
        <f>Table1[[#This Row],['[1950,1959']]]/N44</f>
        <v>0</v>
      </c>
      <c r="Z44">
        <f>Table1[[#This Row],['[1960,1969']]]/O44</f>
        <v>3.8461538461538464E-2</v>
      </c>
      <c r="AA44">
        <f>Table1[[#This Row],['[1970,1979']]]/P44</f>
        <v>0.1</v>
      </c>
      <c r="AB44">
        <f>Table1[[#This Row],['[1980,1989']]]/Q44</f>
        <v>1.1578947368421053</v>
      </c>
      <c r="AC44">
        <f>Table1[[#This Row],['[1990,1999']]]/R44</f>
        <v>2.1052631578947367</v>
      </c>
      <c r="AD44">
        <f>Table1[[#This Row],['[2000,2010']]]/S44</f>
        <v>1.45</v>
      </c>
      <c r="AE44">
        <f>Table1[[#This Row],[Total papers]]/T44</f>
        <v>0.63225806451612898</v>
      </c>
      <c r="AF44">
        <f>Table1[[#This Row],[Average Paper per decade]]/U44</f>
        <v>0.84210526315789469</v>
      </c>
    </row>
    <row r="45" spans="1:32" x14ac:dyDescent="0.2">
      <c r="A45" s="11" t="s">
        <v>53</v>
      </c>
      <c r="B45">
        <v>0</v>
      </c>
      <c r="C45">
        <v>2</v>
      </c>
      <c r="D45">
        <v>0</v>
      </c>
      <c r="E45">
        <v>20</v>
      </c>
      <c r="F45">
        <v>33</v>
      </c>
      <c r="G45">
        <v>17</v>
      </c>
      <c r="H45">
        <v>21</v>
      </c>
      <c r="I45">
        <v>94</v>
      </c>
      <c r="J45">
        <v>31</v>
      </c>
      <c r="L45" s="1" t="s">
        <v>55</v>
      </c>
      <c r="M45">
        <v>8</v>
      </c>
      <c r="N45">
        <v>16</v>
      </c>
      <c r="O45">
        <v>9</v>
      </c>
      <c r="P45">
        <v>19</v>
      </c>
      <c r="Q45">
        <v>13</v>
      </c>
      <c r="R45">
        <v>35</v>
      </c>
      <c r="S45">
        <v>52</v>
      </c>
      <c r="T45">
        <v>152</v>
      </c>
      <c r="U45">
        <v>38</v>
      </c>
      <c r="X45">
        <f>Table1[[#This Row],['[1940,1949']]]/M45</f>
        <v>0</v>
      </c>
      <c r="Y45">
        <f>Table1[[#This Row],['[1950,1959']]]/N45</f>
        <v>0.125</v>
      </c>
      <c r="Z45">
        <f>Table1[[#This Row],['[1960,1969']]]/O45</f>
        <v>0</v>
      </c>
      <c r="AA45">
        <f>Table1[[#This Row],['[1970,1979']]]/P45</f>
        <v>1.0526315789473684</v>
      </c>
      <c r="AB45">
        <f>Table1[[#This Row],['[1980,1989']]]/Q45</f>
        <v>2.5384615384615383</v>
      </c>
      <c r="AC45">
        <f>Table1[[#This Row],['[1990,1999']]]/R45</f>
        <v>0.48571428571428571</v>
      </c>
      <c r="AD45">
        <f>Table1[[#This Row],['[2000,2010']]]/S45</f>
        <v>0.40384615384615385</v>
      </c>
      <c r="AE45">
        <f>Table1[[#This Row],[Total papers]]/T45</f>
        <v>0.61842105263157898</v>
      </c>
      <c r="AF45">
        <f>Table1[[#This Row],[Average Paper per decade]]/U45</f>
        <v>0.81578947368421051</v>
      </c>
    </row>
    <row r="46" spans="1:32" x14ac:dyDescent="0.2">
      <c r="A46" s="11" t="s">
        <v>54</v>
      </c>
      <c r="B46">
        <v>36</v>
      </c>
      <c r="C46">
        <v>14</v>
      </c>
      <c r="D46">
        <v>15</v>
      </c>
      <c r="E46">
        <v>12</v>
      </c>
      <c r="F46">
        <v>7</v>
      </c>
      <c r="G46">
        <v>4</v>
      </c>
      <c r="H46">
        <v>3</v>
      </c>
      <c r="I46">
        <v>94</v>
      </c>
      <c r="J46">
        <v>23</v>
      </c>
      <c r="L46" s="1" t="s">
        <v>50</v>
      </c>
      <c r="M46">
        <v>7</v>
      </c>
      <c r="N46">
        <v>25</v>
      </c>
      <c r="O46">
        <v>21</v>
      </c>
      <c r="P46">
        <v>17</v>
      </c>
      <c r="Q46">
        <v>24</v>
      </c>
      <c r="R46">
        <v>24</v>
      </c>
      <c r="S46">
        <v>28</v>
      </c>
      <c r="T46">
        <v>146</v>
      </c>
      <c r="U46">
        <v>36</v>
      </c>
      <c r="X46">
        <f>Table1[[#This Row],['[1940,1949']]]/M46</f>
        <v>5.1428571428571432</v>
      </c>
      <c r="Y46">
        <f>Table1[[#This Row],['[1950,1959']]]/N46</f>
        <v>0.56000000000000005</v>
      </c>
      <c r="Z46">
        <f>Table1[[#This Row],['[1960,1969']]]/O46</f>
        <v>0.7142857142857143</v>
      </c>
      <c r="AA46">
        <f>Table1[[#This Row],['[1970,1979']]]/P46</f>
        <v>0.70588235294117652</v>
      </c>
      <c r="AB46">
        <f>Table1[[#This Row],['[1980,1989']]]/Q46</f>
        <v>0.29166666666666669</v>
      </c>
      <c r="AC46">
        <f>Table1[[#This Row],['[1990,1999']]]/R46</f>
        <v>0.16666666666666666</v>
      </c>
      <c r="AD46">
        <f>Table1[[#This Row],['[2000,2010']]]/S46</f>
        <v>0.10714285714285714</v>
      </c>
      <c r="AE46">
        <f>Table1[[#This Row],[Total papers]]/T46</f>
        <v>0.64383561643835618</v>
      </c>
      <c r="AF46">
        <f>Table1[[#This Row],[Average Paper per decade]]/U46</f>
        <v>0.63888888888888884</v>
      </c>
    </row>
    <row r="47" spans="1:32" x14ac:dyDescent="0.2">
      <c r="A47" s="11" t="s">
        <v>55</v>
      </c>
      <c r="B47">
        <v>7</v>
      </c>
      <c r="C47">
        <v>13</v>
      </c>
      <c r="D47">
        <v>7</v>
      </c>
      <c r="E47">
        <v>13</v>
      </c>
      <c r="F47">
        <v>9</v>
      </c>
      <c r="G47">
        <v>19</v>
      </c>
      <c r="H47">
        <v>22</v>
      </c>
      <c r="I47">
        <v>93</v>
      </c>
      <c r="J47">
        <v>23</v>
      </c>
      <c r="L47" s="1" t="s">
        <v>51</v>
      </c>
      <c r="M47">
        <v>20</v>
      </c>
      <c r="N47">
        <v>22</v>
      </c>
      <c r="O47">
        <v>24</v>
      </c>
      <c r="P47">
        <v>34</v>
      </c>
      <c r="Q47">
        <v>27</v>
      </c>
      <c r="R47">
        <v>8</v>
      </c>
      <c r="S47">
        <v>11</v>
      </c>
      <c r="T47">
        <v>146</v>
      </c>
      <c r="U47">
        <v>36</v>
      </c>
      <c r="X47">
        <f>Table1[[#This Row],['[1940,1949']]]/M47</f>
        <v>0.35</v>
      </c>
      <c r="Y47">
        <f>Table1[[#This Row],['[1950,1959']]]/N47</f>
        <v>0.59090909090909094</v>
      </c>
      <c r="Z47">
        <f>Table1[[#This Row],['[1960,1969']]]/O47</f>
        <v>0.29166666666666669</v>
      </c>
      <c r="AA47">
        <f>Table1[[#This Row],['[1970,1979']]]/P47</f>
        <v>0.38235294117647056</v>
      </c>
      <c r="AB47">
        <f>Table1[[#This Row],['[1980,1989']]]/Q47</f>
        <v>0.33333333333333331</v>
      </c>
      <c r="AC47">
        <f>Table1[[#This Row],['[1990,1999']]]/R47</f>
        <v>2.375</v>
      </c>
      <c r="AD47">
        <f>Table1[[#This Row],['[2000,2010']]]/S47</f>
        <v>2</v>
      </c>
      <c r="AE47">
        <f>Table1[[#This Row],[Total papers]]/T47</f>
        <v>0.63698630136986301</v>
      </c>
      <c r="AF47">
        <f>Table1[[#This Row],[Average Paper per decade]]/U47</f>
        <v>0.63888888888888884</v>
      </c>
    </row>
    <row r="48" spans="1:32" x14ac:dyDescent="0.2">
      <c r="A48" s="11" t="s">
        <v>56</v>
      </c>
      <c r="B48">
        <v>0</v>
      </c>
      <c r="C48">
        <v>0</v>
      </c>
      <c r="D48">
        <v>0</v>
      </c>
      <c r="E48">
        <v>9</v>
      </c>
      <c r="F48">
        <v>28</v>
      </c>
      <c r="G48">
        <v>27</v>
      </c>
      <c r="H48">
        <v>23</v>
      </c>
      <c r="I48">
        <v>88</v>
      </c>
      <c r="J48">
        <v>35</v>
      </c>
      <c r="L48" s="1" t="s">
        <v>61</v>
      </c>
      <c r="M48">
        <v>0</v>
      </c>
      <c r="N48">
        <v>2</v>
      </c>
      <c r="O48">
        <v>4</v>
      </c>
      <c r="P48">
        <v>38</v>
      </c>
      <c r="Q48">
        <v>43</v>
      </c>
      <c r="R48">
        <v>43</v>
      </c>
      <c r="S48">
        <v>10</v>
      </c>
      <c r="T48">
        <v>140</v>
      </c>
      <c r="U48">
        <v>40</v>
      </c>
      <c r="X48" t="e">
        <f>Table1[[#This Row],['[1940,1949']]]/M48</f>
        <v>#DIV/0!</v>
      </c>
      <c r="Y48">
        <f>Table1[[#This Row],['[1950,1959']]]/N48</f>
        <v>0</v>
      </c>
      <c r="Z48">
        <f>Table1[[#This Row],['[1960,1969']]]/O48</f>
        <v>0</v>
      </c>
      <c r="AA48">
        <f>Table1[[#This Row],['[1970,1979']]]/P48</f>
        <v>0.23684210526315788</v>
      </c>
      <c r="AB48">
        <f>Table1[[#This Row],['[1980,1989']]]/Q48</f>
        <v>0.65116279069767447</v>
      </c>
      <c r="AC48">
        <f>Table1[[#This Row],['[1990,1999']]]/R48</f>
        <v>0.62790697674418605</v>
      </c>
      <c r="AD48">
        <f>Table1[[#This Row],['[2000,2010']]]/S48</f>
        <v>2.2999999999999998</v>
      </c>
      <c r="AE48">
        <f>Table1[[#This Row],[Total papers]]/T48</f>
        <v>0.62857142857142856</v>
      </c>
      <c r="AF48">
        <f>Table1[[#This Row],[Average Paper per decade]]/U48</f>
        <v>0.875</v>
      </c>
    </row>
    <row r="49" spans="1:32" x14ac:dyDescent="0.2">
      <c r="A49" s="11" t="s">
        <v>57</v>
      </c>
      <c r="B49">
        <v>0</v>
      </c>
      <c r="C49">
        <v>1</v>
      </c>
      <c r="D49">
        <v>12</v>
      </c>
      <c r="E49">
        <v>38</v>
      </c>
      <c r="F49">
        <v>24</v>
      </c>
      <c r="G49">
        <v>9</v>
      </c>
      <c r="H49">
        <v>2</v>
      </c>
      <c r="I49">
        <v>88</v>
      </c>
      <c r="J49">
        <v>25</v>
      </c>
      <c r="L49" s="1" t="s">
        <v>62</v>
      </c>
      <c r="M49">
        <v>1</v>
      </c>
      <c r="N49">
        <v>0</v>
      </c>
      <c r="O49">
        <v>0</v>
      </c>
      <c r="P49">
        <v>8</v>
      </c>
      <c r="Q49">
        <v>5</v>
      </c>
      <c r="R49">
        <v>31</v>
      </c>
      <c r="S49">
        <v>94</v>
      </c>
      <c r="T49">
        <v>139</v>
      </c>
      <c r="U49">
        <v>46</v>
      </c>
      <c r="X49">
        <f>Table1[[#This Row],['[1940,1949']]]/M49</f>
        <v>0</v>
      </c>
      <c r="Y49" t="e">
        <f>Table1[[#This Row],['[1950,1959']]]/N49</f>
        <v>#DIV/0!</v>
      </c>
      <c r="Z49" t="e">
        <f>Table1[[#This Row],['[1960,1969']]]/O49</f>
        <v>#DIV/0!</v>
      </c>
      <c r="AA49">
        <f>Table1[[#This Row],['[1970,1979']]]/P49</f>
        <v>4.75</v>
      </c>
      <c r="AB49">
        <f>Table1[[#This Row],['[1980,1989']]]/Q49</f>
        <v>4.8</v>
      </c>
      <c r="AC49">
        <f>Table1[[#This Row],['[1990,1999']]]/R49</f>
        <v>0.29032258064516131</v>
      </c>
      <c r="AD49">
        <f>Table1[[#This Row],['[2000,2010']]]/S49</f>
        <v>2.1276595744680851E-2</v>
      </c>
      <c r="AE49">
        <f>Table1[[#This Row],[Total papers]]/T49</f>
        <v>0.63309352517985606</v>
      </c>
      <c r="AF49">
        <f>Table1[[#This Row],[Average Paper per decade]]/U49</f>
        <v>0.54347826086956519</v>
      </c>
    </row>
    <row r="50" spans="1:32" x14ac:dyDescent="0.2">
      <c r="A50" s="11" t="s">
        <v>58</v>
      </c>
      <c r="B50">
        <v>0</v>
      </c>
      <c r="C50">
        <v>2</v>
      </c>
      <c r="D50">
        <v>5</v>
      </c>
      <c r="E50">
        <v>31</v>
      </c>
      <c r="F50">
        <v>31</v>
      </c>
      <c r="G50">
        <v>12</v>
      </c>
      <c r="H50">
        <v>3</v>
      </c>
      <c r="I50">
        <v>87</v>
      </c>
      <c r="J50">
        <v>24</v>
      </c>
      <c r="L50" s="1" t="s">
        <v>46</v>
      </c>
      <c r="M50">
        <v>105</v>
      </c>
      <c r="N50">
        <v>23</v>
      </c>
      <c r="O50">
        <v>7</v>
      </c>
      <c r="P50">
        <v>3</v>
      </c>
      <c r="Q50">
        <v>0</v>
      </c>
      <c r="R50">
        <v>0</v>
      </c>
      <c r="S50">
        <v>0</v>
      </c>
      <c r="T50">
        <v>138</v>
      </c>
      <c r="U50">
        <v>55</v>
      </c>
      <c r="AE50">
        <f>Table1[[#This Row],[Total papers]]/T50</f>
        <v>0.63043478260869568</v>
      </c>
      <c r="AF50">
        <f>Table1[[#This Row],[Average Paper per decade]]/U50</f>
        <v>0.43636363636363634</v>
      </c>
    </row>
    <row r="51" spans="1:32" x14ac:dyDescent="0.2">
      <c r="A51" s="11" t="s">
        <v>59</v>
      </c>
      <c r="B51">
        <v>1</v>
      </c>
      <c r="C51">
        <v>4</v>
      </c>
      <c r="D51">
        <v>2</v>
      </c>
      <c r="E51">
        <v>32</v>
      </c>
      <c r="F51">
        <v>10</v>
      </c>
      <c r="G51">
        <v>15</v>
      </c>
      <c r="H51">
        <v>17</v>
      </c>
      <c r="I51">
        <v>84</v>
      </c>
      <c r="J51">
        <v>21</v>
      </c>
      <c r="X51" t="e">
        <f>AVERAGE(X2:X50)</f>
        <v>#DIV/0!</v>
      </c>
      <c r="Y51" t="e">
        <f t="shared" ref="Y51:AF51" si="0">AVERAGE(Y2:Y50)</f>
        <v>#DIV/0!</v>
      </c>
      <c r="Z51" t="e">
        <f t="shared" si="0"/>
        <v>#DIV/0!</v>
      </c>
      <c r="AA51">
        <f t="shared" si="0"/>
        <v>0.83017044008904906</v>
      </c>
      <c r="AB51">
        <f t="shared" si="0"/>
        <v>0.73339326227559087</v>
      </c>
      <c r="AC51">
        <f t="shared" si="0"/>
        <v>0.59065019239321226</v>
      </c>
      <c r="AD51">
        <f t="shared" si="0"/>
        <v>0.56560225168136613</v>
      </c>
      <c r="AE51">
        <f t="shared" si="0"/>
        <v>0.62201173686246602</v>
      </c>
      <c r="AF51">
        <f t="shared" si="0"/>
        <v>0.62427363553723925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A9A6-3E1F-9D45-A0EC-F3B7F8D255C2}">
  <dimension ref="A1:AX51"/>
  <sheetViews>
    <sheetView tabSelected="1" topLeftCell="S1" workbookViewId="0">
      <selection activeCell="AW36" sqref="AW36"/>
    </sheetView>
  </sheetViews>
  <sheetFormatPr baseColWidth="10" defaultColWidth="8.83203125" defaultRowHeight="15" x14ac:dyDescent="0.2"/>
  <cols>
    <col min="1" max="1" width="25.5" customWidth="1"/>
    <col min="2" max="8" width="13.33203125" customWidth="1"/>
    <col min="9" max="9" width="12.83203125" customWidth="1"/>
    <col min="10" max="10" width="23.6640625" customWidth="1"/>
    <col min="12" max="12" width="40.5" bestFit="1" customWidth="1"/>
    <col min="32" max="32" width="39.1640625" bestFit="1" customWidth="1"/>
    <col min="33" max="40" width="6.33203125" customWidth="1"/>
  </cols>
  <sheetData>
    <row r="1" spans="1:50" ht="30" customHeight="1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F1" t="str">
        <f>L1</f>
        <v>Affiliation</v>
      </c>
      <c r="AG1" s="17" t="str">
        <f t="shared" ref="AG1:AM1" si="0">M1</f>
        <v>[1940,1949]</v>
      </c>
      <c r="AH1" s="17" t="str">
        <f t="shared" si="0"/>
        <v>[1950,1959]</v>
      </c>
      <c r="AI1" s="17" t="str">
        <f t="shared" si="0"/>
        <v>[1960,1969]</v>
      </c>
      <c r="AJ1" s="17" t="str">
        <f t="shared" si="0"/>
        <v>[1970,1979]</v>
      </c>
      <c r="AK1" s="17" t="str">
        <f t="shared" si="0"/>
        <v>[1980,1989]</v>
      </c>
      <c r="AL1" s="17" t="str">
        <f t="shared" si="0"/>
        <v>[1990,1999]</v>
      </c>
      <c r="AM1" s="17" t="str">
        <f t="shared" si="0"/>
        <v>[2000,2010]</v>
      </c>
      <c r="AN1" s="17" t="s">
        <v>8</v>
      </c>
      <c r="AP1" t="s">
        <v>0</v>
      </c>
      <c r="AQ1" t="s">
        <v>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8</v>
      </c>
    </row>
    <row r="2" spans="1:50" x14ac:dyDescent="0.2">
      <c r="A2" s="11" t="s">
        <v>10</v>
      </c>
      <c r="B2">
        <v>125</v>
      </c>
      <c r="C2">
        <v>97</v>
      </c>
      <c r="D2">
        <v>116</v>
      </c>
      <c r="E2">
        <v>201</v>
      </c>
      <c r="F2">
        <v>168</v>
      </c>
      <c r="G2">
        <v>193</v>
      </c>
      <c r="H2">
        <v>222</v>
      </c>
      <c r="I2">
        <v>1124</v>
      </c>
      <c r="J2">
        <v>281</v>
      </c>
      <c r="L2" s="1" t="s">
        <v>10</v>
      </c>
      <c r="M2">
        <v>145</v>
      </c>
      <c r="N2">
        <v>110</v>
      </c>
      <c r="O2">
        <v>141</v>
      </c>
      <c r="P2">
        <v>273</v>
      </c>
      <c r="Q2">
        <v>275</v>
      </c>
      <c r="R2">
        <v>397</v>
      </c>
      <c r="S2">
        <v>517</v>
      </c>
      <c r="T2">
        <v>1858</v>
      </c>
      <c r="U2">
        <v>464</v>
      </c>
      <c r="W2">
        <f>VLOOKUP($L2,Table13[],2,FALSE)</f>
        <v>125</v>
      </c>
      <c r="X2">
        <f>VLOOKUP($L2,Table13[],3,FALSE)</f>
        <v>97</v>
      </c>
      <c r="Y2">
        <f>VLOOKUP($L2,Table13[],4,FALSE)</f>
        <v>116</v>
      </c>
      <c r="Z2">
        <f>VLOOKUP($L2,Table13[],5,FALSE)</f>
        <v>201</v>
      </c>
      <c r="AA2">
        <f>VLOOKUP($L2,Table13[],6,FALSE)</f>
        <v>168</v>
      </c>
      <c r="AB2">
        <f>VLOOKUP($L2,Table13[],7,FALSE)</f>
        <v>193</v>
      </c>
      <c r="AC2">
        <f>VLOOKUP($L2,Table13[],8,FALSE)</f>
        <v>222</v>
      </c>
      <c r="AD2">
        <f>VLOOKUP($L2,Table13[],9,FALSE)</f>
        <v>1124</v>
      </c>
      <c r="AF2" t="str">
        <f>L2</f>
        <v>Harvard University</v>
      </c>
      <c r="AG2" s="16">
        <f t="shared" ref="AG2:AN2" si="1">IFERROR(W2/M2,"")</f>
        <v>0.86206896551724133</v>
      </c>
      <c r="AH2" s="16">
        <f t="shared" si="1"/>
        <v>0.88181818181818183</v>
      </c>
      <c r="AI2" s="16">
        <f t="shared" si="1"/>
        <v>0.82269503546099287</v>
      </c>
      <c r="AJ2" s="16">
        <f t="shared" si="1"/>
        <v>0.73626373626373631</v>
      </c>
      <c r="AK2" s="16">
        <f t="shared" si="1"/>
        <v>0.61090909090909096</v>
      </c>
      <c r="AL2" s="16">
        <f t="shared" si="1"/>
        <v>0.48614609571788414</v>
      </c>
      <c r="AM2" s="16">
        <f t="shared" si="1"/>
        <v>0.42940038684719534</v>
      </c>
      <c r="AN2" s="16">
        <f t="shared" si="1"/>
        <v>0.60495156081808399</v>
      </c>
      <c r="AP2" t="s">
        <v>10</v>
      </c>
      <c r="AQ2" s="16">
        <v>0.86206896551724133</v>
      </c>
      <c r="AR2" s="16">
        <v>0.88181818181818183</v>
      </c>
      <c r="AS2" s="16">
        <v>0.82269503546099287</v>
      </c>
      <c r="AT2" s="16">
        <v>0.73626373626373631</v>
      </c>
      <c r="AU2" s="16">
        <v>0.61090909090909096</v>
      </c>
      <c r="AV2" s="16">
        <v>0.48614609571788414</v>
      </c>
      <c r="AW2" s="16">
        <v>0.42940038684719534</v>
      </c>
      <c r="AX2" s="16">
        <v>0.60495156081808399</v>
      </c>
    </row>
    <row r="3" spans="1:50" x14ac:dyDescent="0.2">
      <c r="A3" s="11" t="s">
        <v>11</v>
      </c>
      <c r="B3">
        <v>104</v>
      </c>
      <c r="C3">
        <v>87</v>
      </c>
      <c r="D3">
        <v>136</v>
      </c>
      <c r="E3">
        <v>148</v>
      </c>
      <c r="F3">
        <v>125</v>
      </c>
      <c r="G3">
        <v>146</v>
      </c>
      <c r="H3">
        <v>174</v>
      </c>
      <c r="I3">
        <v>922</v>
      </c>
      <c r="J3">
        <v>230</v>
      </c>
      <c r="L3" s="1" t="s">
        <v>11</v>
      </c>
      <c r="M3">
        <v>129</v>
      </c>
      <c r="N3">
        <v>94</v>
      </c>
      <c r="O3">
        <v>183</v>
      </c>
      <c r="P3">
        <v>203</v>
      </c>
      <c r="Q3">
        <v>209</v>
      </c>
      <c r="R3">
        <v>268</v>
      </c>
      <c r="S3">
        <v>397</v>
      </c>
      <c r="T3">
        <v>1483</v>
      </c>
      <c r="U3">
        <v>370</v>
      </c>
      <c r="W3">
        <f>VLOOKUP(L3,Table13[],2,FALSE)</f>
        <v>104</v>
      </c>
      <c r="X3">
        <f>VLOOKUP($L3,Table13[],3,FALSE)</f>
        <v>87</v>
      </c>
      <c r="Y3">
        <f>VLOOKUP($L3,Table13[],4,FALSE)</f>
        <v>136</v>
      </c>
      <c r="Z3">
        <f>VLOOKUP($L3,Table13[],5,FALSE)</f>
        <v>148</v>
      </c>
      <c r="AA3">
        <f>VLOOKUP($L3,Table13[],6,FALSE)</f>
        <v>125</v>
      </c>
      <c r="AB3">
        <f>VLOOKUP($L3,Table13[],7,FALSE)</f>
        <v>146</v>
      </c>
      <c r="AC3">
        <f>VLOOKUP($L3,Table13[],8,FALSE)</f>
        <v>174</v>
      </c>
      <c r="AD3">
        <f>VLOOKUP($L3,Table13[],9,FALSE)</f>
        <v>922</v>
      </c>
      <c r="AF3" t="str">
        <f t="shared" ref="AF3:AF46" si="2">L3</f>
        <v>University Of Chicago</v>
      </c>
      <c r="AG3" s="16">
        <f t="shared" ref="AG3:AG46" si="3">IFERROR(W3/M3,"")</f>
        <v>0.80620155038759689</v>
      </c>
      <c r="AH3" s="16">
        <f t="shared" ref="AH3:AH17" si="4">IFERROR(X3/N3,"")</f>
        <v>0.92553191489361697</v>
      </c>
      <c r="AI3" s="16">
        <f t="shared" ref="AI3:AI17" si="5">IFERROR(Y3/O3,"")</f>
        <v>0.74316939890710387</v>
      </c>
      <c r="AJ3" s="16">
        <f t="shared" ref="AJ3:AJ17" si="6">IFERROR(Z3/P3,"")</f>
        <v>0.72906403940886699</v>
      </c>
      <c r="AK3" s="16">
        <f t="shared" ref="AK3:AK17" si="7">IFERROR(AA3/Q3,"")</f>
        <v>0.59808612440191389</v>
      </c>
      <c r="AL3" s="16">
        <f t="shared" ref="AL3:AL17" si="8">IFERROR(AB3/R3,"")</f>
        <v>0.54477611940298509</v>
      </c>
      <c r="AM3" s="16">
        <f t="shared" ref="AM3:AM17" si="9">IFERROR(AC3/S3,"")</f>
        <v>0.43828715365239296</v>
      </c>
      <c r="AN3" s="16">
        <f t="shared" ref="AN3:AN46" si="10">IFERROR(AD3/T3,"")</f>
        <v>0.62171274443695212</v>
      </c>
      <c r="AP3" t="s">
        <v>11</v>
      </c>
      <c r="AQ3" s="16">
        <v>0.80620155038759689</v>
      </c>
      <c r="AR3" s="16">
        <v>0.92553191489361697</v>
      </c>
      <c r="AS3" s="16">
        <v>0.74316939890710387</v>
      </c>
      <c r="AT3" s="16">
        <v>0.72906403940886699</v>
      </c>
      <c r="AU3" s="16">
        <v>0.59808612440191389</v>
      </c>
      <c r="AV3" s="16">
        <v>0.54477611940298509</v>
      </c>
      <c r="AW3" s="16">
        <v>0.43828715365239296</v>
      </c>
      <c r="AX3" s="16">
        <v>0.62171274443695212</v>
      </c>
    </row>
    <row r="4" spans="1:50" x14ac:dyDescent="0.2">
      <c r="A4" s="11" t="s">
        <v>12</v>
      </c>
      <c r="B4">
        <v>36</v>
      </c>
      <c r="C4">
        <v>68</v>
      </c>
      <c r="D4">
        <v>108</v>
      </c>
      <c r="E4">
        <v>110</v>
      </c>
      <c r="F4">
        <v>159</v>
      </c>
      <c r="G4">
        <v>151</v>
      </c>
      <c r="H4">
        <v>145</v>
      </c>
      <c r="I4">
        <v>778</v>
      </c>
      <c r="J4">
        <v>194</v>
      </c>
      <c r="L4" s="1" t="s">
        <v>12</v>
      </c>
      <c r="M4">
        <v>41</v>
      </c>
      <c r="N4">
        <v>80</v>
      </c>
      <c r="O4">
        <v>144</v>
      </c>
      <c r="P4">
        <v>147</v>
      </c>
      <c r="Q4">
        <v>245</v>
      </c>
      <c r="R4">
        <v>273</v>
      </c>
      <c r="S4">
        <v>353</v>
      </c>
      <c r="T4">
        <v>1283</v>
      </c>
      <c r="U4">
        <v>320</v>
      </c>
      <c r="W4">
        <f>VLOOKUP(L4,Table13[],2,FALSE)</f>
        <v>36</v>
      </c>
      <c r="X4">
        <f>VLOOKUP($L4,Table13[],3,FALSE)</f>
        <v>68</v>
      </c>
      <c r="Y4">
        <f>VLOOKUP($L4,Table13[],4,FALSE)</f>
        <v>108</v>
      </c>
      <c r="Z4">
        <f>VLOOKUP($L4,Table13[],5,FALSE)</f>
        <v>110</v>
      </c>
      <c r="AA4">
        <f>VLOOKUP($L4,Table13[],6,FALSE)</f>
        <v>159</v>
      </c>
      <c r="AB4">
        <f>VLOOKUP($L4,Table13[],7,FALSE)</f>
        <v>151</v>
      </c>
      <c r="AC4">
        <f>VLOOKUP($L4,Table13[],8,FALSE)</f>
        <v>145</v>
      </c>
      <c r="AD4">
        <f>VLOOKUP($L4,Table13[],9,FALSE)</f>
        <v>778</v>
      </c>
      <c r="AF4" t="str">
        <f t="shared" si="2"/>
        <v>Massachusetts Institute Of Technology</v>
      </c>
      <c r="AG4" s="16">
        <f t="shared" si="3"/>
        <v>0.87804878048780488</v>
      </c>
      <c r="AH4" s="16">
        <f t="shared" si="4"/>
        <v>0.85</v>
      </c>
      <c r="AI4" s="16">
        <f t="shared" si="5"/>
        <v>0.75</v>
      </c>
      <c r="AJ4" s="16">
        <f t="shared" si="6"/>
        <v>0.74829931972789121</v>
      </c>
      <c r="AK4" s="16">
        <f t="shared" si="7"/>
        <v>0.6489795918367347</v>
      </c>
      <c r="AL4" s="16">
        <f t="shared" si="8"/>
        <v>0.55311355311355315</v>
      </c>
      <c r="AM4" s="16">
        <f t="shared" si="9"/>
        <v>0.41076487252124644</v>
      </c>
      <c r="AN4" s="16">
        <f t="shared" si="10"/>
        <v>0.60639127045985974</v>
      </c>
      <c r="AP4" t="s">
        <v>12</v>
      </c>
      <c r="AQ4" s="16">
        <v>0.87804878048780488</v>
      </c>
      <c r="AR4" s="16">
        <v>0.85</v>
      </c>
      <c r="AS4" s="16">
        <v>0.75</v>
      </c>
      <c r="AT4" s="16">
        <v>0.74829931972789121</v>
      </c>
      <c r="AU4" s="16">
        <v>0.6489795918367347</v>
      </c>
      <c r="AV4" s="16">
        <v>0.55311355311355315</v>
      </c>
      <c r="AW4" s="16">
        <v>0.41076487252124644</v>
      </c>
      <c r="AX4" s="16">
        <v>0.60639127045985974</v>
      </c>
    </row>
    <row r="5" spans="1:50" x14ac:dyDescent="0.2">
      <c r="A5" s="11" t="s">
        <v>13</v>
      </c>
      <c r="B5">
        <v>22</v>
      </c>
      <c r="C5">
        <v>62</v>
      </c>
      <c r="D5">
        <v>73</v>
      </c>
      <c r="E5">
        <v>111</v>
      </c>
      <c r="F5">
        <v>132</v>
      </c>
      <c r="G5">
        <v>111</v>
      </c>
      <c r="H5">
        <v>148</v>
      </c>
      <c r="I5">
        <v>661</v>
      </c>
      <c r="J5">
        <v>165</v>
      </c>
      <c r="L5" s="1" t="s">
        <v>13</v>
      </c>
      <c r="M5">
        <v>24</v>
      </c>
      <c r="N5">
        <v>76</v>
      </c>
      <c r="O5">
        <v>97</v>
      </c>
      <c r="P5">
        <v>166</v>
      </c>
      <c r="Q5">
        <v>225</v>
      </c>
      <c r="R5">
        <v>193</v>
      </c>
      <c r="S5">
        <v>307</v>
      </c>
      <c r="T5">
        <v>1088</v>
      </c>
      <c r="U5">
        <v>272</v>
      </c>
      <c r="W5">
        <f>VLOOKUP(L5,Table13[],2,FALSE)</f>
        <v>22</v>
      </c>
      <c r="X5">
        <f>VLOOKUP($L5,Table13[],3,FALSE)</f>
        <v>62</v>
      </c>
      <c r="Y5">
        <f>VLOOKUP($L5,Table13[],4,FALSE)</f>
        <v>73</v>
      </c>
      <c r="Z5">
        <f>VLOOKUP($L5,Table13[],5,FALSE)</f>
        <v>111</v>
      </c>
      <c r="AA5">
        <f>VLOOKUP($L5,Table13[],6,FALSE)</f>
        <v>132</v>
      </c>
      <c r="AB5">
        <f>VLOOKUP($L5,Table13[],7,FALSE)</f>
        <v>111</v>
      </c>
      <c r="AC5">
        <f>VLOOKUP($L5,Table13[],8,FALSE)</f>
        <v>148</v>
      </c>
      <c r="AD5">
        <f>VLOOKUP($L5,Table13[],9,FALSE)</f>
        <v>661</v>
      </c>
      <c r="AF5" t="str">
        <f t="shared" si="2"/>
        <v>Stanford University</v>
      </c>
      <c r="AG5" s="16">
        <f t="shared" si="3"/>
        <v>0.91666666666666663</v>
      </c>
      <c r="AH5" s="16">
        <f t="shared" si="4"/>
        <v>0.81578947368421051</v>
      </c>
      <c r="AI5" s="16">
        <f t="shared" si="5"/>
        <v>0.75257731958762886</v>
      </c>
      <c r="AJ5" s="16">
        <f t="shared" si="6"/>
        <v>0.66867469879518071</v>
      </c>
      <c r="AK5" s="16">
        <f t="shared" si="7"/>
        <v>0.58666666666666667</v>
      </c>
      <c r="AL5" s="16">
        <f t="shared" si="8"/>
        <v>0.57512953367875652</v>
      </c>
      <c r="AM5" s="16">
        <f t="shared" si="9"/>
        <v>0.48208469055374592</v>
      </c>
      <c r="AN5" s="16">
        <f t="shared" si="10"/>
        <v>0.60753676470588236</v>
      </c>
      <c r="AP5" t="s">
        <v>13</v>
      </c>
      <c r="AQ5" s="16">
        <v>0.91666666666666663</v>
      </c>
      <c r="AR5" s="16">
        <v>0.81578947368421051</v>
      </c>
      <c r="AS5" s="16">
        <v>0.75257731958762886</v>
      </c>
      <c r="AT5" s="16">
        <v>0.66867469879518071</v>
      </c>
      <c r="AU5" s="16">
        <v>0.58666666666666667</v>
      </c>
      <c r="AV5" s="16">
        <v>0.57512953367875652</v>
      </c>
      <c r="AW5" s="16">
        <v>0.48208469055374592</v>
      </c>
      <c r="AX5" s="16">
        <v>0.60753676470588236</v>
      </c>
    </row>
    <row r="6" spans="1:50" x14ac:dyDescent="0.2">
      <c r="A6" s="11" t="s">
        <v>14</v>
      </c>
      <c r="B6">
        <v>38</v>
      </c>
      <c r="C6">
        <v>38</v>
      </c>
      <c r="D6">
        <v>65</v>
      </c>
      <c r="E6">
        <v>84</v>
      </c>
      <c r="F6">
        <v>141</v>
      </c>
      <c r="G6">
        <v>100</v>
      </c>
      <c r="H6">
        <v>124</v>
      </c>
      <c r="I6">
        <v>594</v>
      </c>
      <c r="J6">
        <v>148</v>
      </c>
      <c r="L6" s="1" t="s">
        <v>14</v>
      </c>
      <c r="M6">
        <v>41</v>
      </c>
      <c r="N6">
        <v>47</v>
      </c>
      <c r="O6">
        <v>94</v>
      </c>
      <c r="P6">
        <v>122</v>
      </c>
      <c r="Q6">
        <v>232</v>
      </c>
      <c r="R6">
        <v>184</v>
      </c>
      <c r="S6">
        <v>248</v>
      </c>
      <c r="T6">
        <v>968</v>
      </c>
      <c r="U6">
        <v>242</v>
      </c>
      <c r="W6">
        <f>VLOOKUP(L6,Table13[],2,FALSE)</f>
        <v>38</v>
      </c>
      <c r="X6">
        <f>VLOOKUP($L6,Table13[],3,FALSE)</f>
        <v>38</v>
      </c>
      <c r="Y6">
        <f>VLOOKUP($L6,Table13[],4,FALSE)</f>
        <v>65</v>
      </c>
      <c r="Z6">
        <f>VLOOKUP($L6,Table13[],5,FALSE)</f>
        <v>84</v>
      </c>
      <c r="AA6">
        <f>VLOOKUP($L6,Table13[],6,FALSE)</f>
        <v>141</v>
      </c>
      <c r="AB6">
        <f>VLOOKUP($L6,Table13[],7,FALSE)</f>
        <v>100</v>
      </c>
      <c r="AC6">
        <f>VLOOKUP($L6,Table13[],8,FALSE)</f>
        <v>124</v>
      </c>
      <c r="AD6">
        <f>VLOOKUP($L6,Table13[],9,FALSE)</f>
        <v>594</v>
      </c>
      <c r="AF6" t="str">
        <f t="shared" si="2"/>
        <v>Princeton University</v>
      </c>
      <c r="AG6" s="16">
        <f t="shared" si="3"/>
        <v>0.92682926829268297</v>
      </c>
      <c r="AH6" s="16">
        <f t="shared" si="4"/>
        <v>0.80851063829787229</v>
      </c>
      <c r="AI6" s="16">
        <f t="shared" si="5"/>
        <v>0.69148936170212771</v>
      </c>
      <c r="AJ6" s="16">
        <f t="shared" si="6"/>
        <v>0.68852459016393441</v>
      </c>
      <c r="AK6" s="16">
        <f t="shared" si="7"/>
        <v>0.60775862068965514</v>
      </c>
      <c r="AL6" s="16">
        <f t="shared" si="8"/>
        <v>0.54347826086956519</v>
      </c>
      <c r="AM6" s="16">
        <f t="shared" si="9"/>
        <v>0.5</v>
      </c>
      <c r="AN6" s="16">
        <f t="shared" si="10"/>
        <v>0.61363636363636365</v>
      </c>
      <c r="AP6" t="s">
        <v>14</v>
      </c>
      <c r="AQ6" s="16">
        <v>0.92682926829268297</v>
      </c>
      <c r="AR6" s="16">
        <v>0.80851063829787229</v>
      </c>
      <c r="AS6" s="16">
        <v>0.69148936170212771</v>
      </c>
      <c r="AT6" s="16">
        <v>0.68852459016393441</v>
      </c>
      <c r="AU6" s="16">
        <v>0.60775862068965514</v>
      </c>
      <c r="AV6" s="16">
        <v>0.54347826086956519</v>
      </c>
      <c r="AW6" s="16">
        <v>0.5</v>
      </c>
      <c r="AX6" s="16">
        <v>0.61363636363636365</v>
      </c>
    </row>
    <row r="7" spans="1:50" x14ac:dyDescent="0.2">
      <c r="A7" s="11" t="s">
        <v>15</v>
      </c>
      <c r="B7">
        <v>40</v>
      </c>
      <c r="C7">
        <v>59</v>
      </c>
      <c r="D7">
        <v>99</v>
      </c>
      <c r="E7">
        <v>111</v>
      </c>
      <c r="F7">
        <v>109</v>
      </c>
      <c r="G7">
        <v>86</v>
      </c>
      <c r="H7">
        <v>86</v>
      </c>
      <c r="I7">
        <v>593</v>
      </c>
      <c r="J7">
        <v>148</v>
      </c>
      <c r="L7" s="1" t="s">
        <v>15</v>
      </c>
      <c r="M7">
        <v>53</v>
      </c>
      <c r="N7">
        <v>68</v>
      </c>
      <c r="O7">
        <v>129</v>
      </c>
      <c r="P7">
        <v>142</v>
      </c>
      <c r="Q7">
        <v>168</v>
      </c>
      <c r="R7">
        <v>139</v>
      </c>
      <c r="S7">
        <v>191</v>
      </c>
      <c r="T7">
        <v>890</v>
      </c>
      <c r="U7">
        <v>222</v>
      </c>
      <c r="W7">
        <f>VLOOKUP(L7,Table13[],2,FALSE)</f>
        <v>40</v>
      </c>
      <c r="X7">
        <f>VLOOKUP($L7,Table13[],3,FALSE)</f>
        <v>59</v>
      </c>
      <c r="Y7">
        <f>VLOOKUP($L7,Table13[],4,FALSE)</f>
        <v>99</v>
      </c>
      <c r="Z7">
        <f>VLOOKUP($L7,Table13[],5,FALSE)</f>
        <v>111</v>
      </c>
      <c r="AA7">
        <f>VLOOKUP($L7,Table13[],6,FALSE)</f>
        <v>109</v>
      </c>
      <c r="AB7">
        <f>VLOOKUP($L7,Table13[],7,FALSE)</f>
        <v>86</v>
      </c>
      <c r="AC7">
        <f>VLOOKUP($L7,Table13[],8,FALSE)</f>
        <v>86</v>
      </c>
      <c r="AD7">
        <f>VLOOKUP($L7,Table13[],9,FALSE)</f>
        <v>593</v>
      </c>
      <c r="AF7" t="str">
        <f t="shared" si="2"/>
        <v>Yale University</v>
      </c>
      <c r="AG7" s="16">
        <f t="shared" si="3"/>
        <v>0.75471698113207553</v>
      </c>
      <c r="AH7" s="16">
        <f t="shared" si="4"/>
        <v>0.86764705882352944</v>
      </c>
      <c r="AI7" s="16">
        <f t="shared" si="5"/>
        <v>0.76744186046511631</v>
      </c>
      <c r="AJ7" s="16">
        <f t="shared" si="6"/>
        <v>0.78169014084507038</v>
      </c>
      <c r="AK7" s="16">
        <f t="shared" si="7"/>
        <v>0.64880952380952384</v>
      </c>
      <c r="AL7" s="16">
        <f t="shared" si="8"/>
        <v>0.61870503597122306</v>
      </c>
      <c r="AM7" s="16">
        <f t="shared" si="9"/>
        <v>0.45026178010471202</v>
      </c>
      <c r="AN7" s="16">
        <f t="shared" si="10"/>
        <v>0.66629213483146066</v>
      </c>
      <c r="AP7" t="s">
        <v>15</v>
      </c>
      <c r="AQ7" s="16">
        <v>0.75471698113207553</v>
      </c>
      <c r="AR7" s="16">
        <v>0.86764705882352944</v>
      </c>
      <c r="AS7" s="16">
        <v>0.76744186046511631</v>
      </c>
      <c r="AT7" s="16">
        <v>0.78169014084507038</v>
      </c>
      <c r="AU7" s="16">
        <v>0.64880952380952384</v>
      </c>
      <c r="AV7" s="16">
        <v>0.61870503597122306</v>
      </c>
      <c r="AW7" s="16">
        <v>0.45026178010471202</v>
      </c>
      <c r="AX7" s="16">
        <v>0.66629213483146066</v>
      </c>
    </row>
    <row r="8" spans="1:50" x14ac:dyDescent="0.2">
      <c r="A8" s="11" t="s">
        <v>16</v>
      </c>
      <c r="B8">
        <v>18</v>
      </c>
      <c r="C8">
        <v>37</v>
      </c>
      <c r="D8">
        <v>78</v>
      </c>
      <c r="E8">
        <v>74</v>
      </c>
      <c r="F8">
        <v>91</v>
      </c>
      <c r="G8">
        <v>78</v>
      </c>
      <c r="H8">
        <v>133</v>
      </c>
      <c r="I8">
        <v>512</v>
      </c>
      <c r="J8">
        <v>128</v>
      </c>
      <c r="L8" s="1" t="s">
        <v>16</v>
      </c>
      <c r="M8">
        <v>27</v>
      </c>
      <c r="N8">
        <v>43</v>
      </c>
      <c r="O8">
        <v>95</v>
      </c>
      <c r="P8">
        <v>113</v>
      </c>
      <c r="Q8">
        <v>147</v>
      </c>
      <c r="R8">
        <v>137</v>
      </c>
      <c r="S8">
        <v>290</v>
      </c>
      <c r="T8">
        <v>852</v>
      </c>
      <c r="U8">
        <v>213</v>
      </c>
      <c r="W8">
        <f>VLOOKUP(L8,Table13[],2,FALSE)</f>
        <v>18</v>
      </c>
      <c r="X8">
        <f>VLOOKUP($L8,Table13[],3,FALSE)</f>
        <v>37</v>
      </c>
      <c r="Y8">
        <f>VLOOKUP($L8,Table13[],4,FALSE)</f>
        <v>78</v>
      </c>
      <c r="Z8">
        <f>VLOOKUP($L8,Table13[],5,FALSE)</f>
        <v>74</v>
      </c>
      <c r="AA8">
        <f>VLOOKUP($L8,Table13[],6,FALSE)</f>
        <v>91</v>
      </c>
      <c r="AB8">
        <f>VLOOKUP($L8,Table13[],7,FALSE)</f>
        <v>78</v>
      </c>
      <c r="AC8">
        <f>VLOOKUP($L8,Table13[],8,FALSE)</f>
        <v>133</v>
      </c>
      <c r="AD8">
        <f>VLOOKUP($L8,Table13[],9,FALSE)</f>
        <v>512</v>
      </c>
      <c r="AF8" t="str">
        <f t="shared" si="2"/>
        <v>University Of California, Berkeley</v>
      </c>
      <c r="AG8" s="16">
        <f t="shared" si="3"/>
        <v>0.66666666666666663</v>
      </c>
      <c r="AH8" s="16">
        <f t="shared" si="4"/>
        <v>0.86046511627906974</v>
      </c>
      <c r="AI8" s="16">
        <f t="shared" si="5"/>
        <v>0.82105263157894737</v>
      </c>
      <c r="AJ8" s="16">
        <f t="shared" si="6"/>
        <v>0.65486725663716816</v>
      </c>
      <c r="AK8" s="16">
        <f t="shared" si="7"/>
        <v>0.61904761904761907</v>
      </c>
      <c r="AL8" s="16">
        <f t="shared" si="8"/>
        <v>0.56934306569343063</v>
      </c>
      <c r="AM8" s="16">
        <f t="shared" si="9"/>
        <v>0.45862068965517239</v>
      </c>
      <c r="AN8" s="16">
        <f t="shared" si="10"/>
        <v>0.60093896713615025</v>
      </c>
      <c r="AP8" t="s">
        <v>16</v>
      </c>
      <c r="AQ8" s="16">
        <v>0.66666666666666663</v>
      </c>
      <c r="AR8" s="16">
        <v>0.86046511627906974</v>
      </c>
      <c r="AS8" s="16">
        <v>0.82105263157894737</v>
      </c>
      <c r="AT8" s="16">
        <v>0.65486725663716816</v>
      </c>
      <c r="AU8" s="16">
        <v>0.61904761904761907</v>
      </c>
      <c r="AV8" s="16">
        <v>0.56934306569343063</v>
      </c>
      <c r="AW8" s="16">
        <v>0.45862068965517239</v>
      </c>
      <c r="AX8" s="16">
        <v>0.60093896713615025</v>
      </c>
    </row>
    <row r="9" spans="1:50" x14ac:dyDescent="0.2">
      <c r="A9" s="11" t="s">
        <v>17</v>
      </c>
      <c r="B9">
        <v>12</v>
      </c>
      <c r="C9">
        <v>37</v>
      </c>
      <c r="D9">
        <v>42</v>
      </c>
      <c r="E9">
        <v>79</v>
      </c>
      <c r="F9">
        <v>96</v>
      </c>
      <c r="G9">
        <v>111</v>
      </c>
      <c r="H9">
        <v>119</v>
      </c>
      <c r="I9">
        <v>499</v>
      </c>
      <c r="J9">
        <v>124</v>
      </c>
      <c r="L9" s="1" t="s">
        <v>18</v>
      </c>
      <c r="M9">
        <v>25</v>
      </c>
      <c r="N9">
        <v>30</v>
      </c>
      <c r="O9">
        <v>84</v>
      </c>
      <c r="P9">
        <v>119</v>
      </c>
      <c r="Q9">
        <v>191</v>
      </c>
      <c r="R9">
        <v>173</v>
      </c>
      <c r="S9">
        <v>208</v>
      </c>
      <c r="T9">
        <v>830</v>
      </c>
      <c r="U9">
        <v>207</v>
      </c>
      <c r="W9">
        <f>VLOOKUP(L9,Table13[],2,FALSE)</f>
        <v>20</v>
      </c>
      <c r="X9">
        <f>VLOOKUP($L9,Table13[],3,FALSE)</f>
        <v>25</v>
      </c>
      <c r="Y9">
        <f>VLOOKUP($L9,Table13[],4,FALSE)</f>
        <v>66</v>
      </c>
      <c r="Z9">
        <f>VLOOKUP($L9,Table13[],5,FALSE)</f>
        <v>75</v>
      </c>
      <c r="AA9">
        <f>VLOOKUP($L9,Table13[],6,FALSE)</f>
        <v>113</v>
      </c>
      <c r="AB9">
        <f>VLOOKUP($L9,Table13[],7,FALSE)</f>
        <v>83</v>
      </c>
      <c r="AC9">
        <f>VLOOKUP($L9,Table13[],8,FALSE)</f>
        <v>88</v>
      </c>
      <c r="AD9">
        <f>VLOOKUP($L9,Table13[],9,FALSE)</f>
        <v>472</v>
      </c>
      <c r="AF9" t="str">
        <f t="shared" si="2"/>
        <v>University Of Pennsylvania</v>
      </c>
      <c r="AG9" s="16">
        <f t="shared" si="3"/>
        <v>0.8</v>
      </c>
      <c r="AH9" s="16">
        <f t="shared" si="4"/>
        <v>0.83333333333333337</v>
      </c>
      <c r="AI9" s="16">
        <f t="shared" si="5"/>
        <v>0.7857142857142857</v>
      </c>
      <c r="AJ9" s="16">
        <f t="shared" si="6"/>
        <v>0.63025210084033612</v>
      </c>
      <c r="AK9" s="16">
        <f t="shared" si="7"/>
        <v>0.59162303664921467</v>
      </c>
      <c r="AL9" s="16">
        <f t="shared" si="8"/>
        <v>0.47976878612716761</v>
      </c>
      <c r="AM9" s="16">
        <f t="shared" si="9"/>
        <v>0.42307692307692307</v>
      </c>
      <c r="AN9" s="16">
        <f t="shared" si="10"/>
        <v>0.56867469879518073</v>
      </c>
      <c r="AP9" t="s">
        <v>18</v>
      </c>
      <c r="AQ9" s="16">
        <v>0.8</v>
      </c>
      <c r="AR9" s="16">
        <v>0.83333333333333337</v>
      </c>
      <c r="AS9" s="16">
        <v>0.7857142857142857</v>
      </c>
      <c r="AT9" s="16">
        <v>0.63025210084033612</v>
      </c>
      <c r="AU9" s="16">
        <v>0.59162303664921467</v>
      </c>
      <c r="AV9" s="16">
        <v>0.47976878612716761</v>
      </c>
      <c r="AW9" s="16">
        <v>0.42307692307692307</v>
      </c>
      <c r="AX9" s="16">
        <v>0.56867469879518073</v>
      </c>
    </row>
    <row r="10" spans="1:50" x14ac:dyDescent="0.2">
      <c r="A10" s="11" t="s">
        <v>18</v>
      </c>
      <c r="B10">
        <v>20</v>
      </c>
      <c r="C10">
        <v>25</v>
      </c>
      <c r="D10">
        <v>66</v>
      </c>
      <c r="E10">
        <v>75</v>
      </c>
      <c r="F10">
        <v>113</v>
      </c>
      <c r="G10">
        <v>83</v>
      </c>
      <c r="H10">
        <v>88</v>
      </c>
      <c r="I10">
        <v>472</v>
      </c>
      <c r="J10">
        <v>118</v>
      </c>
      <c r="L10" s="1" t="s">
        <v>17</v>
      </c>
      <c r="M10">
        <v>14</v>
      </c>
      <c r="N10">
        <v>42</v>
      </c>
      <c r="O10">
        <v>57</v>
      </c>
      <c r="P10">
        <v>118</v>
      </c>
      <c r="Q10">
        <v>154</v>
      </c>
      <c r="R10">
        <v>192</v>
      </c>
      <c r="S10">
        <v>234</v>
      </c>
      <c r="T10">
        <v>811</v>
      </c>
      <c r="U10">
        <v>202</v>
      </c>
      <c r="W10">
        <f>VLOOKUP(L10,Table13[],2,FALSE)</f>
        <v>12</v>
      </c>
      <c r="X10">
        <f>VLOOKUP($L10,Table13[],3,FALSE)</f>
        <v>37</v>
      </c>
      <c r="Y10">
        <f>VLOOKUP($L10,Table13[],4,FALSE)</f>
        <v>42</v>
      </c>
      <c r="Z10">
        <f>VLOOKUP($L10,Table13[],5,FALSE)</f>
        <v>79</v>
      </c>
      <c r="AA10">
        <f>VLOOKUP($L10,Table13[],6,FALSE)</f>
        <v>96</v>
      </c>
      <c r="AB10">
        <f>VLOOKUP($L10,Table13[],7,FALSE)</f>
        <v>111</v>
      </c>
      <c r="AC10">
        <f>VLOOKUP($L10,Table13[],8,FALSE)</f>
        <v>119</v>
      </c>
      <c r="AD10">
        <f>VLOOKUP($L10,Table13[],9,FALSE)</f>
        <v>499</v>
      </c>
      <c r="AF10" t="str">
        <f t="shared" si="2"/>
        <v>Northwestern University</v>
      </c>
      <c r="AG10" s="16">
        <f t="shared" si="3"/>
        <v>0.8571428571428571</v>
      </c>
      <c r="AH10" s="16">
        <f t="shared" si="4"/>
        <v>0.88095238095238093</v>
      </c>
      <c r="AI10" s="16">
        <f t="shared" si="5"/>
        <v>0.73684210526315785</v>
      </c>
      <c r="AJ10" s="16">
        <f t="shared" si="6"/>
        <v>0.66949152542372881</v>
      </c>
      <c r="AK10" s="16">
        <f t="shared" si="7"/>
        <v>0.62337662337662336</v>
      </c>
      <c r="AL10" s="16">
        <f t="shared" si="8"/>
        <v>0.578125</v>
      </c>
      <c r="AM10" s="16">
        <f t="shared" si="9"/>
        <v>0.50854700854700852</v>
      </c>
      <c r="AN10" s="16">
        <f t="shared" si="10"/>
        <v>0.61528976572133165</v>
      </c>
      <c r="AP10" t="s">
        <v>17</v>
      </c>
      <c r="AQ10" s="16">
        <v>0.8571428571428571</v>
      </c>
      <c r="AR10" s="16">
        <v>0.88095238095238093</v>
      </c>
      <c r="AS10" s="16">
        <v>0.73684210526315785</v>
      </c>
      <c r="AT10" s="16">
        <v>0.66949152542372881</v>
      </c>
      <c r="AU10" s="16">
        <v>0.62337662337662336</v>
      </c>
      <c r="AV10" s="16">
        <v>0.578125</v>
      </c>
      <c r="AW10" s="16">
        <v>0.50854700854700852</v>
      </c>
      <c r="AX10" s="16">
        <v>0.61528976572133165</v>
      </c>
    </row>
    <row r="11" spans="1:50" x14ac:dyDescent="0.2">
      <c r="A11" s="11" t="s">
        <v>19</v>
      </c>
      <c r="B11">
        <v>52</v>
      </c>
      <c r="C11">
        <v>54</v>
      </c>
      <c r="D11">
        <v>48</v>
      </c>
      <c r="E11">
        <v>70</v>
      </c>
      <c r="F11">
        <v>66</v>
      </c>
      <c r="G11">
        <v>73</v>
      </c>
      <c r="H11">
        <v>88</v>
      </c>
      <c r="I11">
        <v>454</v>
      </c>
      <c r="J11">
        <v>113</v>
      </c>
      <c r="L11" s="1" t="s">
        <v>19</v>
      </c>
      <c r="M11">
        <v>57</v>
      </c>
      <c r="N11">
        <v>61</v>
      </c>
      <c r="O11">
        <v>62</v>
      </c>
      <c r="P11">
        <v>97</v>
      </c>
      <c r="Q11">
        <v>104</v>
      </c>
      <c r="R11">
        <v>118</v>
      </c>
      <c r="S11">
        <v>208</v>
      </c>
      <c r="T11">
        <v>707</v>
      </c>
      <c r="U11">
        <v>176</v>
      </c>
      <c r="W11">
        <f>VLOOKUP(L11,Table13[],2,FALSE)</f>
        <v>52</v>
      </c>
      <c r="X11">
        <f>VLOOKUP($L11,Table13[],3,FALSE)</f>
        <v>54</v>
      </c>
      <c r="Y11">
        <f>VLOOKUP($L11,Table13[],4,FALSE)</f>
        <v>48</v>
      </c>
      <c r="Z11">
        <f>VLOOKUP($L11,Table13[],5,FALSE)</f>
        <v>70</v>
      </c>
      <c r="AA11">
        <f>VLOOKUP($L11,Table13[],6,FALSE)</f>
        <v>66</v>
      </c>
      <c r="AB11">
        <f>VLOOKUP($L11,Table13[],7,FALSE)</f>
        <v>73</v>
      </c>
      <c r="AC11">
        <f>VLOOKUP($L11,Table13[],8,FALSE)</f>
        <v>88</v>
      </c>
      <c r="AD11">
        <f>VLOOKUP($L11,Table13[],9,FALSE)</f>
        <v>454</v>
      </c>
      <c r="AF11" t="str">
        <f t="shared" si="2"/>
        <v>Columbia University</v>
      </c>
      <c r="AG11" s="16">
        <f t="shared" si="3"/>
        <v>0.91228070175438591</v>
      </c>
      <c r="AH11" s="16">
        <f t="shared" si="4"/>
        <v>0.88524590163934425</v>
      </c>
      <c r="AI11" s="16">
        <f t="shared" si="5"/>
        <v>0.77419354838709675</v>
      </c>
      <c r="AJ11" s="16">
        <f t="shared" si="6"/>
        <v>0.72164948453608246</v>
      </c>
      <c r="AK11" s="16">
        <f t="shared" si="7"/>
        <v>0.63461538461538458</v>
      </c>
      <c r="AL11" s="16">
        <f t="shared" si="8"/>
        <v>0.61864406779661019</v>
      </c>
      <c r="AM11" s="16">
        <f t="shared" si="9"/>
        <v>0.42307692307692307</v>
      </c>
      <c r="AN11" s="16">
        <f t="shared" si="10"/>
        <v>0.64214992927864212</v>
      </c>
      <c r="AP11" t="s">
        <v>19</v>
      </c>
      <c r="AQ11" s="16">
        <v>0.91228070175438591</v>
      </c>
      <c r="AR11" s="16">
        <v>0.88524590163934425</v>
      </c>
      <c r="AS11" s="16">
        <v>0.77419354838709675</v>
      </c>
      <c r="AT11" s="16">
        <v>0.72164948453608246</v>
      </c>
      <c r="AU11" s="16">
        <v>0.63461538461538458</v>
      </c>
      <c r="AV11" s="16">
        <v>0.61864406779661019</v>
      </c>
      <c r="AW11" s="16">
        <v>0.42307692307692307</v>
      </c>
      <c r="AX11" s="16">
        <v>0.64214992927864212</v>
      </c>
    </row>
    <row r="12" spans="1:50" x14ac:dyDescent="0.2">
      <c r="A12" s="11" t="s">
        <v>20</v>
      </c>
      <c r="B12">
        <v>23</v>
      </c>
      <c r="C12">
        <v>44</v>
      </c>
      <c r="D12">
        <v>49</v>
      </c>
      <c r="E12">
        <v>62</v>
      </c>
      <c r="F12">
        <v>61</v>
      </c>
      <c r="G12">
        <v>57</v>
      </c>
      <c r="H12">
        <v>54</v>
      </c>
      <c r="I12">
        <v>353</v>
      </c>
      <c r="J12">
        <v>88</v>
      </c>
      <c r="L12" s="1" t="s">
        <v>20</v>
      </c>
      <c r="M12">
        <v>28</v>
      </c>
      <c r="N12">
        <v>54</v>
      </c>
      <c r="O12">
        <v>64</v>
      </c>
      <c r="P12">
        <v>85</v>
      </c>
      <c r="Q12">
        <v>100</v>
      </c>
      <c r="R12">
        <v>113</v>
      </c>
      <c r="S12">
        <v>112</v>
      </c>
      <c r="T12">
        <v>556</v>
      </c>
      <c r="U12">
        <v>139</v>
      </c>
      <c r="W12">
        <f>VLOOKUP(L12,Table13[],2,FALSE)</f>
        <v>23</v>
      </c>
      <c r="X12">
        <f>VLOOKUP($L12,Table13[],3,FALSE)</f>
        <v>44</v>
      </c>
      <c r="Y12">
        <f>VLOOKUP($L12,Table13[],4,FALSE)</f>
        <v>49</v>
      </c>
      <c r="Z12">
        <f>VLOOKUP($L12,Table13[],5,FALSE)</f>
        <v>62</v>
      </c>
      <c r="AA12">
        <f>VLOOKUP($L12,Table13[],6,FALSE)</f>
        <v>61</v>
      </c>
      <c r="AB12">
        <f>VLOOKUP($L12,Table13[],7,FALSE)</f>
        <v>57</v>
      </c>
      <c r="AC12">
        <f>VLOOKUP($L12,Table13[],8,FALSE)</f>
        <v>54</v>
      </c>
      <c r="AD12">
        <f>VLOOKUP($L12,Table13[],9,FALSE)</f>
        <v>353</v>
      </c>
      <c r="AF12" t="str">
        <f t="shared" si="2"/>
        <v>University Of Michigan</v>
      </c>
      <c r="AG12" s="16">
        <f t="shared" si="3"/>
        <v>0.8214285714285714</v>
      </c>
      <c r="AH12" s="16">
        <f t="shared" si="4"/>
        <v>0.81481481481481477</v>
      </c>
      <c r="AI12" s="16">
        <f t="shared" si="5"/>
        <v>0.765625</v>
      </c>
      <c r="AJ12" s="16">
        <f t="shared" si="6"/>
        <v>0.72941176470588232</v>
      </c>
      <c r="AK12" s="16">
        <f t="shared" si="7"/>
        <v>0.61</v>
      </c>
      <c r="AL12" s="16">
        <f t="shared" si="8"/>
        <v>0.50442477876106195</v>
      </c>
      <c r="AM12" s="16">
        <f t="shared" si="9"/>
        <v>0.48214285714285715</v>
      </c>
      <c r="AN12" s="16">
        <f t="shared" si="10"/>
        <v>0.6348920863309353</v>
      </c>
      <c r="AP12" t="s">
        <v>68</v>
      </c>
      <c r="AQ12" s="16" t="s">
        <v>68</v>
      </c>
      <c r="AR12" s="16" t="s">
        <v>68</v>
      </c>
      <c r="AS12" s="16" t="s">
        <v>68</v>
      </c>
      <c r="AT12" s="16" t="s">
        <v>68</v>
      </c>
      <c r="AU12" s="16" t="s">
        <v>68</v>
      </c>
      <c r="AV12" s="16" t="s">
        <v>68</v>
      </c>
      <c r="AW12" s="16" t="s">
        <v>68</v>
      </c>
      <c r="AX12" s="16" t="s">
        <v>68</v>
      </c>
    </row>
    <row r="13" spans="1:50" x14ac:dyDescent="0.2">
      <c r="A13" s="11" t="s">
        <v>21</v>
      </c>
      <c r="B13">
        <v>12</v>
      </c>
      <c r="C13">
        <v>33</v>
      </c>
      <c r="D13">
        <v>41</v>
      </c>
      <c r="E13">
        <v>64</v>
      </c>
      <c r="F13">
        <v>64</v>
      </c>
      <c r="G13">
        <v>58</v>
      </c>
      <c r="H13">
        <v>64</v>
      </c>
      <c r="I13">
        <v>339</v>
      </c>
      <c r="J13">
        <v>84</v>
      </c>
      <c r="L13" s="1" t="s">
        <v>21</v>
      </c>
      <c r="M13">
        <v>13</v>
      </c>
      <c r="N13">
        <v>40</v>
      </c>
      <c r="O13">
        <v>48</v>
      </c>
      <c r="P13">
        <v>83</v>
      </c>
      <c r="Q13">
        <v>99</v>
      </c>
      <c r="R13">
        <v>103</v>
      </c>
      <c r="S13">
        <v>164</v>
      </c>
      <c r="T13">
        <v>550</v>
      </c>
      <c r="U13">
        <v>137</v>
      </c>
      <c r="W13">
        <f>VLOOKUP(L13,Table13[],2,FALSE)</f>
        <v>12</v>
      </c>
      <c r="X13">
        <f>VLOOKUP($L13,Table13[],3,FALSE)</f>
        <v>33</v>
      </c>
      <c r="Y13">
        <f>VLOOKUP($L13,Table13[],4,FALSE)</f>
        <v>41</v>
      </c>
      <c r="Z13">
        <f>VLOOKUP($L13,Table13[],5,FALSE)</f>
        <v>64</v>
      </c>
      <c r="AA13">
        <f>VLOOKUP($L13,Table13[],6,FALSE)</f>
        <v>64</v>
      </c>
      <c r="AB13">
        <f>VLOOKUP($L13,Table13[],7,FALSE)</f>
        <v>58</v>
      </c>
      <c r="AC13">
        <f>VLOOKUP($L13,Table13[],8,FALSE)</f>
        <v>64</v>
      </c>
      <c r="AD13">
        <f>VLOOKUP($L13,Table13[],9,FALSE)</f>
        <v>339</v>
      </c>
      <c r="AF13" t="str">
        <f t="shared" si="2"/>
        <v>University Of California, Los Angeles</v>
      </c>
      <c r="AG13" s="16">
        <f t="shared" si="3"/>
        <v>0.92307692307692313</v>
      </c>
      <c r="AH13" s="16">
        <f t="shared" si="4"/>
        <v>0.82499999999999996</v>
      </c>
      <c r="AI13" s="16">
        <f t="shared" si="5"/>
        <v>0.85416666666666663</v>
      </c>
      <c r="AJ13" s="16">
        <f t="shared" si="6"/>
        <v>0.77108433734939763</v>
      </c>
      <c r="AK13" s="16">
        <f t="shared" si="7"/>
        <v>0.64646464646464652</v>
      </c>
      <c r="AL13" s="16">
        <f t="shared" si="8"/>
        <v>0.56310679611650483</v>
      </c>
      <c r="AM13" s="16">
        <f t="shared" si="9"/>
        <v>0.3902439024390244</v>
      </c>
      <c r="AN13" s="16">
        <f t="shared" si="10"/>
        <v>0.61636363636363634</v>
      </c>
      <c r="AP13" t="s">
        <v>67</v>
      </c>
      <c r="AQ13" s="16">
        <v>0.87288686401100335</v>
      </c>
      <c r="AR13" s="16">
        <v>0.84920714140038789</v>
      </c>
      <c r="AS13" s="16">
        <v>0.77634933568150022</v>
      </c>
      <c r="AT13" s="16">
        <v>0.68947353885052931</v>
      </c>
      <c r="AU13" s="16">
        <v>0.61823153799763308</v>
      </c>
      <c r="AV13" s="16">
        <v>0.53025364521285934</v>
      </c>
      <c r="AW13" s="16">
        <v>0.43409763007959157</v>
      </c>
      <c r="AX13" s="16">
        <v>0.62271314081077478</v>
      </c>
    </row>
    <row r="14" spans="1:50" x14ac:dyDescent="0.2">
      <c r="A14" s="11" t="s">
        <v>22</v>
      </c>
      <c r="B14">
        <v>4</v>
      </c>
      <c r="C14">
        <v>12</v>
      </c>
      <c r="D14">
        <v>28</v>
      </c>
      <c r="E14">
        <v>84</v>
      </c>
      <c r="F14">
        <v>88</v>
      </c>
      <c r="G14">
        <v>40</v>
      </c>
      <c r="H14">
        <v>68</v>
      </c>
      <c r="I14">
        <v>326</v>
      </c>
      <c r="J14">
        <v>81</v>
      </c>
      <c r="L14" s="1" t="s">
        <v>22</v>
      </c>
      <c r="M14">
        <v>5</v>
      </c>
      <c r="N14">
        <v>14</v>
      </c>
      <c r="O14">
        <v>36</v>
      </c>
      <c r="P14">
        <v>112</v>
      </c>
      <c r="Q14">
        <v>129</v>
      </c>
      <c r="R14">
        <v>71</v>
      </c>
      <c r="S14">
        <v>161</v>
      </c>
      <c r="T14">
        <v>528</v>
      </c>
      <c r="U14">
        <v>132</v>
      </c>
      <c r="W14">
        <f>VLOOKUP(L14,Table13[],2,FALSE)</f>
        <v>4</v>
      </c>
      <c r="X14">
        <f>VLOOKUP($L14,Table13[],3,FALSE)</f>
        <v>12</v>
      </c>
      <c r="Y14">
        <f>VLOOKUP($L14,Table13[],4,FALSE)</f>
        <v>28</v>
      </c>
      <c r="Z14">
        <f>VLOOKUP($L14,Table13[],5,FALSE)</f>
        <v>84</v>
      </c>
      <c r="AA14">
        <f>VLOOKUP($L14,Table13[],6,FALSE)</f>
        <v>88</v>
      </c>
      <c r="AB14">
        <f>VLOOKUP($L14,Table13[],7,FALSE)</f>
        <v>40</v>
      </c>
      <c r="AC14">
        <f>VLOOKUP($L14,Table13[],8,FALSE)</f>
        <v>68</v>
      </c>
      <c r="AD14">
        <f>VLOOKUP($L14,Table13[],9,FALSE)</f>
        <v>326</v>
      </c>
      <c r="AF14" t="str">
        <f t="shared" si="2"/>
        <v>London School Of Economics &amp; Political Science</v>
      </c>
      <c r="AG14" s="16">
        <f t="shared" si="3"/>
        <v>0.8</v>
      </c>
      <c r="AH14" s="16">
        <f t="shared" si="4"/>
        <v>0.8571428571428571</v>
      </c>
      <c r="AI14" s="16">
        <f t="shared" si="5"/>
        <v>0.77777777777777779</v>
      </c>
      <c r="AJ14" s="16">
        <f t="shared" si="6"/>
        <v>0.75</v>
      </c>
      <c r="AK14" s="16">
        <f t="shared" si="7"/>
        <v>0.68217054263565891</v>
      </c>
      <c r="AL14" s="16">
        <f t="shared" si="8"/>
        <v>0.56338028169014087</v>
      </c>
      <c r="AM14" s="16">
        <f t="shared" si="9"/>
        <v>0.42236024844720499</v>
      </c>
      <c r="AN14" s="16">
        <f t="shared" si="10"/>
        <v>0.61742424242424243</v>
      </c>
    </row>
    <row r="15" spans="1:50" x14ac:dyDescent="0.2">
      <c r="A15" s="11" t="s">
        <v>23</v>
      </c>
      <c r="B15">
        <v>13</v>
      </c>
      <c r="C15">
        <v>29</v>
      </c>
      <c r="D15">
        <v>56</v>
      </c>
      <c r="E15">
        <v>89</v>
      </c>
      <c r="F15">
        <v>53</v>
      </c>
      <c r="G15">
        <v>34</v>
      </c>
      <c r="H15">
        <v>42</v>
      </c>
      <c r="I15">
        <v>319</v>
      </c>
      <c r="J15">
        <v>79</v>
      </c>
      <c r="L15" s="1" t="s">
        <v>23</v>
      </c>
      <c r="M15">
        <v>14</v>
      </c>
      <c r="N15">
        <v>32</v>
      </c>
      <c r="O15">
        <v>76</v>
      </c>
      <c r="P15">
        <v>140</v>
      </c>
      <c r="Q15">
        <v>86</v>
      </c>
      <c r="R15">
        <v>58</v>
      </c>
      <c r="S15">
        <v>86</v>
      </c>
      <c r="T15">
        <v>492</v>
      </c>
      <c r="U15">
        <v>123</v>
      </c>
      <c r="W15">
        <f>VLOOKUP(L15,Table13[],2,FALSE)</f>
        <v>13</v>
      </c>
      <c r="X15">
        <f>VLOOKUP($L15,Table13[],3,FALSE)</f>
        <v>29</v>
      </c>
      <c r="Y15">
        <f>VLOOKUP($L15,Table13[],4,FALSE)</f>
        <v>56</v>
      </c>
      <c r="Z15">
        <f>VLOOKUP($L15,Table13[],5,FALSE)</f>
        <v>89</v>
      </c>
      <c r="AA15">
        <f>VLOOKUP($L15,Table13[],6,FALSE)</f>
        <v>53</v>
      </c>
      <c r="AB15">
        <f>VLOOKUP($L15,Table13[],7,FALSE)</f>
        <v>34</v>
      </c>
      <c r="AC15">
        <f>VLOOKUP($L15,Table13[],8,FALSE)</f>
        <v>42</v>
      </c>
      <c r="AD15">
        <f>VLOOKUP($L15,Table13[],9,FALSE)</f>
        <v>319</v>
      </c>
      <c r="AF15" t="str">
        <f t="shared" si="2"/>
        <v>University Of Wisconsin</v>
      </c>
      <c r="AG15" s="16">
        <f t="shared" si="3"/>
        <v>0.9285714285714286</v>
      </c>
      <c r="AH15" s="16">
        <f t="shared" si="4"/>
        <v>0.90625</v>
      </c>
      <c r="AI15" s="16">
        <f t="shared" si="5"/>
        <v>0.73684210526315785</v>
      </c>
      <c r="AJ15" s="16">
        <f t="shared" si="6"/>
        <v>0.63571428571428568</v>
      </c>
      <c r="AK15" s="16">
        <f t="shared" si="7"/>
        <v>0.61627906976744184</v>
      </c>
      <c r="AL15" s="16">
        <f t="shared" si="8"/>
        <v>0.58620689655172409</v>
      </c>
      <c r="AM15" s="16">
        <f t="shared" si="9"/>
        <v>0.48837209302325579</v>
      </c>
      <c r="AN15" s="16">
        <f t="shared" si="10"/>
        <v>0.64837398373983735</v>
      </c>
    </row>
    <row r="16" spans="1:50" x14ac:dyDescent="0.2">
      <c r="A16" s="11" t="s">
        <v>24</v>
      </c>
      <c r="B16">
        <v>22</v>
      </c>
      <c r="C16">
        <v>3</v>
      </c>
      <c r="D16">
        <v>8</v>
      </c>
      <c r="E16">
        <v>35</v>
      </c>
      <c r="F16">
        <v>45</v>
      </c>
      <c r="G16">
        <v>36</v>
      </c>
      <c r="H16">
        <v>91</v>
      </c>
      <c r="I16">
        <v>242</v>
      </c>
      <c r="J16">
        <v>60</v>
      </c>
      <c r="L16" s="1" t="s">
        <v>24</v>
      </c>
      <c r="M16">
        <v>28</v>
      </c>
      <c r="N16">
        <v>5</v>
      </c>
      <c r="O16">
        <v>13</v>
      </c>
      <c r="P16">
        <v>60</v>
      </c>
      <c r="Q16">
        <v>81</v>
      </c>
      <c r="R16">
        <v>69</v>
      </c>
      <c r="S16">
        <v>214</v>
      </c>
      <c r="T16">
        <v>470</v>
      </c>
      <c r="U16">
        <v>117</v>
      </c>
      <c r="W16">
        <f>VLOOKUP(L16,Table13[],2,FALSE)</f>
        <v>22</v>
      </c>
      <c r="X16">
        <f>VLOOKUP($L16,Table13[],3,FALSE)</f>
        <v>3</v>
      </c>
      <c r="Y16">
        <f>VLOOKUP($L16,Table13[],4,FALSE)</f>
        <v>8</v>
      </c>
      <c r="Z16">
        <f>VLOOKUP($L16,Table13[],5,FALSE)</f>
        <v>35</v>
      </c>
      <c r="AA16">
        <f>VLOOKUP($L16,Table13[],6,FALSE)</f>
        <v>45</v>
      </c>
      <c r="AB16">
        <f>VLOOKUP($L16,Table13[],7,FALSE)</f>
        <v>36</v>
      </c>
      <c r="AC16">
        <f>VLOOKUP($L16,Table13[],8,FALSE)</f>
        <v>91</v>
      </c>
      <c r="AD16">
        <f>VLOOKUP($L16,Table13[],9,FALSE)</f>
        <v>242</v>
      </c>
      <c r="AF16" t="str">
        <f t="shared" si="2"/>
        <v>New York University</v>
      </c>
      <c r="AG16" s="16">
        <f t="shared" si="3"/>
        <v>0.7857142857142857</v>
      </c>
      <c r="AH16" s="16">
        <f t="shared" si="4"/>
        <v>0.6</v>
      </c>
      <c r="AI16" s="16">
        <f t="shared" si="5"/>
        <v>0.61538461538461542</v>
      </c>
      <c r="AJ16" s="16">
        <f t="shared" si="6"/>
        <v>0.58333333333333337</v>
      </c>
      <c r="AK16" s="16">
        <f t="shared" si="7"/>
        <v>0.55555555555555558</v>
      </c>
      <c r="AL16" s="16">
        <f t="shared" si="8"/>
        <v>0.52173913043478259</v>
      </c>
      <c r="AM16" s="16">
        <f t="shared" si="9"/>
        <v>0.42523364485981308</v>
      </c>
      <c r="AN16" s="16">
        <f t="shared" si="10"/>
        <v>0.51489361702127656</v>
      </c>
    </row>
    <row r="17" spans="1:40" x14ac:dyDescent="0.2">
      <c r="A17" s="11" t="s">
        <v>25</v>
      </c>
      <c r="B17">
        <v>9</v>
      </c>
      <c r="C17">
        <v>28</v>
      </c>
      <c r="D17">
        <v>55</v>
      </c>
      <c r="E17">
        <v>43</v>
      </c>
      <c r="F17">
        <v>47</v>
      </c>
      <c r="G17">
        <v>27</v>
      </c>
      <c r="H17">
        <v>23</v>
      </c>
      <c r="I17">
        <v>236</v>
      </c>
      <c r="J17">
        <v>59</v>
      </c>
      <c r="L17" s="1" t="s">
        <v>26</v>
      </c>
      <c r="M17">
        <v>23</v>
      </c>
      <c r="N17">
        <v>17</v>
      </c>
      <c r="O17">
        <v>42</v>
      </c>
      <c r="P17">
        <v>79</v>
      </c>
      <c r="Q17">
        <v>84</v>
      </c>
      <c r="R17">
        <v>71</v>
      </c>
      <c r="S17">
        <v>100</v>
      </c>
      <c r="T17">
        <v>416</v>
      </c>
      <c r="U17">
        <v>104</v>
      </c>
      <c r="W17">
        <f>VLOOKUP(L17,Table13[],2,FALSE)</f>
        <v>19</v>
      </c>
      <c r="X17">
        <f>VLOOKUP($L17,Table13[],3,FALSE)</f>
        <v>14</v>
      </c>
      <c r="Y17">
        <f>VLOOKUP($L17,Table13[],4,FALSE)</f>
        <v>36</v>
      </c>
      <c r="Z17">
        <f>VLOOKUP($L17,Table13[],5,FALSE)</f>
        <v>51</v>
      </c>
      <c r="AA17">
        <f>VLOOKUP($L17,Table13[],6,FALSE)</f>
        <v>49</v>
      </c>
      <c r="AB17">
        <f>VLOOKUP($L17,Table13[],7,FALSE)</f>
        <v>29</v>
      </c>
      <c r="AC17">
        <f>VLOOKUP($L17,Table13[],8,FALSE)</f>
        <v>29</v>
      </c>
      <c r="AD17">
        <f>VLOOKUP($L17,Table13[],9,FALSE)</f>
        <v>230</v>
      </c>
      <c r="AF17" t="str">
        <f t="shared" si="2"/>
        <v>University Of Minnesota</v>
      </c>
      <c r="AG17" s="16">
        <f t="shared" si="3"/>
        <v>0.82608695652173914</v>
      </c>
      <c r="AH17" s="16">
        <f t="shared" si="4"/>
        <v>0.82352941176470584</v>
      </c>
      <c r="AI17" s="16">
        <f t="shared" si="5"/>
        <v>0.8571428571428571</v>
      </c>
      <c r="AJ17" s="16">
        <f t="shared" si="6"/>
        <v>0.64556962025316456</v>
      </c>
      <c r="AK17" s="16">
        <f t="shared" si="7"/>
        <v>0.58333333333333337</v>
      </c>
      <c r="AL17" s="16">
        <f t="shared" si="8"/>
        <v>0.40845070422535212</v>
      </c>
      <c r="AM17" s="16">
        <f t="shared" si="9"/>
        <v>0.28999999999999998</v>
      </c>
      <c r="AN17" s="16">
        <f t="shared" si="10"/>
        <v>0.55288461538461542</v>
      </c>
    </row>
    <row r="18" spans="1:40" x14ac:dyDescent="0.2">
      <c r="A18" s="11" t="s">
        <v>26</v>
      </c>
      <c r="B18">
        <v>19</v>
      </c>
      <c r="C18">
        <v>14</v>
      </c>
      <c r="D18">
        <v>36</v>
      </c>
      <c r="E18">
        <v>51</v>
      </c>
      <c r="F18">
        <v>49</v>
      </c>
      <c r="G18">
        <v>29</v>
      </c>
      <c r="H18">
        <v>29</v>
      </c>
      <c r="I18">
        <v>230</v>
      </c>
      <c r="J18">
        <v>57</v>
      </c>
      <c r="L18" s="1" t="s">
        <v>25</v>
      </c>
      <c r="M18">
        <v>10</v>
      </c>
      <c r="N18">
        <v>46</v>
      </c>
      <c r="O18">
        <v>85</v>
      </c>
      <c r="P18">
        <v>72</v>
      </c>
      <c r="Q18">
        <v>84</v>
      </c>
      <c r="R18">
        <v>57</v>
      </c>
      <c r="S18">
        <v>54</v>
      </c>
      <c r="T18">
        <v>408</v>
      </c>
      <c r="U18">
        <v>102</v>
      </c>
      <c r="W18">
        <f>VLOOKUP(L18,Table13[],2,FALSE)</f>
        <v>9</v>
      </c>
      <c r="X18">
        <f>VLOOKUP($L18,Table13[],3,FALSE)</f>
        <v>28</v>
      </c>
      <c r="Y18">
        <f>VLOOKUP($L18,Table13[],4,FALSE)</f>
        <v>55</v>
      </c>
      <c r="Z18">
        <f>VLOOKUP($L18,Table13[],5,FALSE)</f>
        <v>43</v>
      </c>
      <c r="AA18">
        <f>VLOOKUP($L18,Table13[],6,FALSE)</f>
        <v>47</v>
      </c>
      <c r="AB18">
        <f>VLOOKUP($L18,Table13[],7,FALSE)</f>
        <v>27</v>
      </c>
      <c r="AC18">
        <f>VLOOKUP($L18,Table13[],8,FALSE)</f>
        <v>23</v>
      </c>
      <c r="AD18">
        <f>VLOOKUP($L18,Table13[],9,FALSE)</f>
        <v>236</v>
      </c>
      <c r="AF18" t="str">
        <f t="shared" si="2"/>
        <v>Carnegie Mellon University</v>
      </c>
      <c r="AG18" s="16">
        <f t="shared" si="3"/>
        <v>0.9</v>
      </c>
      <c r="AH18" s="16">
        <f t="shared" ref="AH18:AH46" si="11">IFERROR(X18/N18,"")</f>
        <v>0.60869565217391308</v>
      </c>
      <c r="AI18" s="16">
        <f t="shared" ref="AI18:AI46" si="12">IFERROR(Y18/O18,"")</f>
        <v>0.6470588235294118</v>
      </c>
      <c r="AJ18" s="16">
        <f t="shared" ref="AJ18:AJ46" si="13">IFERROR(Z18/P18,"")</f>
        <v>0.59722222222222221</v>
      </c>
      <c r="AK18" s="16">
        <f t="shared" ref="AK18:AK46" si="14">IFERROR(AA18/Q18,"")</f>
        <v>0.55952380952380953</v>
      </c>
      <c r="AL18" s="16">
        <f t="shared" ref="AL18:AL46" si="15">IFERROR(AB18/R18,"")</f>
        <v>0.47368421052631576</v>
      </c>
      <c r="AM18" s="16">
        <f t="shared" ref="AM18:AM46" si="16">IFERROR(AC18/S18,"")</f>
        <v>0.42592592592592593</v>
      </c>
      <c r="AN18" s="16">
        <f t="shared" si="10"/>
        <v>0.57843137254901966</v>
      </c>
    </row>
    <row r="19" spans="1:40" x14ac:dyDescent="0.2">
      <c r="A19" s="11" t="s">
        <v>27</v>
      </c>
      <c r="B19">
        <v>0</v>
      </c>
      <c r="C19">
        <v>5</v>
      </c>
      <c r="D19">
        <v>36</v>
      </c>
      <c r="E19">
        <v>86</v>
      </c>
      <c r="F19">
        <v>40</v>
      </c>
      <c r="G19">
        <v>18</v>
      </c>
      <c r="H19">
        <v>21</v>
      </c>
      <c r="I19">
        <v>209</v>
      </c>
      <c r="J19">
        <v>59</v>
      </c>
      <c r="L19" s="1" t="s">
        <v>27</v>
      </c>
      <c r="M19">
        <v>0</v>
      </c>
      <c r="N19">
        <v>7</v>
      </c>
      <c r="O19">
        <v>49</v>
      </c>
      <c r="P19">
        <v>131</v>
      </c>
      <c r="Q19">
        <v>66</v>
      </c>
      <c r="R19">
        <v>42</v>
      </c>
      <c r="S19">
        <v>54</v>
      </c>
      <c r="T19">
        <v>349</v>
      </c>
      <c r="U19">
        <v>99</v>
      </c>
      <c r="W19">
        <f>VLOOKUP(L19,Table13[],2,FALSE)</f>
        <v>0</v>
      </c>
      <c r="X19">
        <f>VLOOKUP($L19,Table13[],3,FALSE)</f>
        <v>5</v>
      </c>
      <c r="Y19">
        <f>VLOOKUP($L19,Table13[],4,FALSE)</f>
        <v>36</v>
      </c>
      <c r="Z19">
        <f>VLOOKUP($L19,Table13[],5,FALSE)</f>
        <v>86</v>
      </c>
      <c r="AA19">
        <f>VLOOKUP($L19,Table13[],6,FALSE)</f>
        <v>40</v>
      </c>
      <c r="AB19">
        <f>VLOOKUP($L19,Table13[],7,FALSE)</f>
        <v>18</v>
      </c>
      <c r="AC19">
        <f>VLOOKUP($L19,Table13[],8,FALSE)</f>
        <v>21</v>
      </c>
      <c r="AD19">
        <f>VLOOKUP($L19,Table13[],9,FALSE)</f>
        <v>209</v>
      </c>
      <c r="AF19" t="str">
        <f t="shared" si="2"/>
        <v>Hebrew University Of Jerusalem</v>
      </c>
      <c r="AG19" s="16" t="str">
        <f t="shared" si="3"/>
        <v/>
      </c>
      <c r="AH19" s="16">
        <f t="shared" si="11"/>
        <v>0.7142857142857143</v>
      </c>
      <c r="AI19" s="16">
        <f t="shared" si="12"/>
        <v>0.73469387755102045</v>
      </c>
      <c r="AJ19" s="16">
        <f t="shared" si="13"/>
        <v>0.65648854961832059</v>
      </c>
      <c r="AK19" s="16">
        <f t="shared" si="14"/>
        <v>0.60606060606060608</v>
      </c>
      <c r="AL19" s="16">
        <f t="shared" si="15"/>
        <v>0.42857142857142855</v>
      </c>
      <c r="AM19" s="16">
        <f t="shared" si="16"/>
        <v>0.3888888888888889</v>
      </c>
      <c r="AN19" s="16">
        <f t="shared" si="10"/>
        <v>0.59885386819484243</v>
      </c>
    </row>
    <row r="20" spans="1:40" x14ac:dyDescent="0.2">
      <c r="A20" s="11" t="s">
        <v>28</v>
      </c>
      <c r="B20">
        <v>23</v>
      </c>
      <c r="C20">
        <v>44</v>
      </c>
      <c r="D20">
        <v>24</v>
      </c>
      <c r="E20">
        <v>23</v>
      </c>
      <c r="F20">
        <v>30</v>
      </c>
      <c r="G20">
        <v>23</v>
      </c>
      <c r="H20">
        <v>32</v>
      </c>
      <c r="I20">
        <v>202</v>
      </c>
      <c r="J20">
        <v>50</v>
      </c>
      <c r="L20" s="1" t="s">
        <v>29</v>
      </c>
      <c r="M20">
        <v>2</v>
      </c>
      <c r="N20">
        <v>2</v>
      </c>
      <c r="O20">
        <v>35</v>
      </c>
      <c r="P20">
        <v>80</v>
      </c>
      <c r="Q20">
        <v>58</v>
      </c>
      <c r="R20">
        <v>76</v>
      </c>
      <c r="S20">
        <v>44</v>
      </c>
      <c r="T20">
        <v>297</v>
      </c>
      <c r="U20">
        <v>74</v>
      </c>
      <c r="W20">
        <f>VLOOKUP(L20,Table13[],2,FALSE)</f>
        <v>1</v>
      </c>
      <c r="X20">
        <f>VLOOKUP($L20,Table13[],3,FALSE)</f>
        <v>2</v>
      </c>
      <c r="Y20">
        <f>VLOOKUP($L20,Table13[],4,FALSE)</f>
        <v>27</v>
      </c>
      <c r="Z20">
        <f>VLOOKUP($L20,Table13[],5,FALSE)</f>
        <v>56</v>
      </c>
      <c r="AA20">
        <f>VLOOKUP($L20,Table13[],6,FALSE)</f>
        <v>37</v>
      </c>
      <c r="AB20">
        <f>VLOOKUP($L20,Table13[],7,FALSE)</f>
        <v>43</v>
      </c>
      <c r="AC20">
        <f>VLOOKUP($L20,Table13[],8,FALSE)</f>
        <v>20</v>
      </c>
      <c r="AD20">
        <f>VLOOKUP($L20,Table13[],9,FALSE)</f>
        <v>187</v>
      </c>
      <c r="AF20" t="str">
        <f t="shared" si="2"/>
        <v>University Of Rochester</v>
      </c>
      <c r="AG20" s="16">
        <f t="shared" si="3"/>
        <v>0.5</v>
      </c>
      <c r="AH20" s="16">
        <f t="shared" si="11"/>
        <v>1</v>
      </c>
      <c r="AI20" s="16">
        <f t="shared" si="12"/>
        <v>0.77142857142857146</v>
      </c>
      <c r="AJ20" s="16">
        <f t="shared" si="13"/>
        <v>0.7</v>
      </c>
      <c r="AK20" s="16">
        <f t="shared" si="14"/>
        <v>0.63793103448275867</v>
      </c>
      <c r="AL20" s="16">
        <f t="shared" si="15"/>
        <v>0.56578947368421051</v>
      </c>
      <c r="AM20" s="16">
        <f t="shared" si="16"/>
        <v>0.45454545454545453</v>
      </c>
      <c r="AN20" s="16">
        <f t="shared" si="10"/>
        <v>0.62962962962962965</v>
      </c>
    </row>
    <row r="21" spans="1:40" x14ac:dyDescent="0.2">
      <c r="A21" s="11" t="s">
        <v>29</v>
      </c>
      <c r="B21">
        <v>1</v>
      </c>
      <c r="C21">
        <v>2</v>
      </c>
      <c r="D21">
        <v>27</v>
      </c>
      <c r="E21">
        <v>56</v>
      </c>
      <c r="F21">
        <v>37</v>
      </c>
      <c r="G21">
        <v>43</v>
      </c>
      <c r="H21">
        <v>20</v>
      </c>
      <c r="I21">
        <v>187</v>
      </c>
      <c r="J21">
        <v>46</v>
      </c>
      <c r="L21" s="1" t="s">
        <v>28</v>
      </c>
      <c r="M21">
        <v>24</v>
      </c>
      <c r="N21">
        <v>52</v>
      </c>
      <c r="O21">
        <v>30</v>
      </c>
      <c r="P21">
        <v>37</v>
      </c>
      <c r="Q21">
        <v>46</v>
      </c>
      <c r="R21">
        <v>42</v>
      </c>
      <c r="S21">
        <v>63</v>
      </c>
      <c r="T21">
        <v>294</v>
      </c>
      <c r="U21">
        <v>73</v>
      </c>
      <c r="W21">
        <f>VLOOKUP(L21,Table13[],2,FALSE)</f>
        <v>23</v>
      </c>
      <c r="X21">
        <f>VLOOKUP($L21,Table13[],3,FALSE)</f>
        <v>44</v>
      </c>
      <c r="Y21">
        <f>VLOOKUP($L21,Table13[],4,FALSE)</f>
        <v>24</v>
      </c>
      <c r="Z21">
        <f>VLOOKUP($L21,Table13[],5,FALSE)</f>
        <v>23</v>
      </c>
      <c r="AA21">
        <f>VLOOKUP($L21,Table13[],6,FALSE)</f>
        <v>30</v>
      </c>
      <c r="AB21">
        <f>VLOOKUP($L21,Table13[],7,FALSE)</f>
        <v>23</v>
      </c>
      <c r="AC21">
        <f>VLOOKUP($L21,Table13[],8,FALSE)</f>
        <v>32</v>
      </c>
      <c r="AD21">
        <f>VLOOKUP($L21,Table13[],9,FALSE)</f>
        <v>202</v>
      </c>
      <c r="AF21" t="str">
        <f t="shared" si="2"/>
        <v>University Of Oxford</v>
      </c>
      <c r="AG21" s="16">
        <f t="shared" si="3"/>
        <v>0.95833333333333337</v>
      </c>
      <c r="AH21" s="16">
        <f t="shared" si="11"/>
        <v>0.84615384615384615</v>
      </c>
      <c r="AI21" s="16">
        <f t="shared" si="12"/>
        <v>0.8</v>
      </c>
      <c r="AJ21" s="16">
        <f t="shared" si="13"/>
        <v>0.6216216216216216</v>
      </c>
      <c r="AK21" s="16">
        <f t="shared" si="14"/>
        <v>0.65217391304347827</v>
      </c>
      <c r="AL21" s="16">
        <f t="shared" si="15"/>
        <v>0.54761904761904767</v>
      </c>
      <c r="AM21" s="16">
        <f t="shared" si="16"/>
        <v>0.50793650793650791</v>
      </c>
      <c r="AN21" s="16">
        <f t="shared" si="10"/>
        <v>0.68707482993197277</v>
      </c>
    </row>
    <row r="22" spans="1:40" x14ac:dyDescent="0.2">
      <c r="A22" s="11" t="s">
        <v>30</v>
      </c>
      <c r="B22">
        <v>21</v>
      </c>
      <c r="C22">
        <v>12</v>
      </c>
      <c r="D22">
        <v>19</v>
      </c>
      <c r="E22">
        <v>42</v>
      </c>
      <c r="F22">
        <v>20</v>
      </c>
      <c r="G22">
        <v>42</v>
      </c>
      <c r="H22">
        <v>29</v>
      </c>
      <c r="I22">
        <v>187</v>
      </c>
      <c r="J22">
        <v>46</v>
      </c>
      <c r="L22" s="1" t="s">
        <v>34</v>
      </c>
      <c r="M22">
        <v>14</v>
      </c>
      <c r="N22">
        <v>20</v>
      </c>
      <c r="O22">
        <v>39</v>
      </c>
      <c r="P22">
        <v>56</v>
      </c>
      <c r="Q22">
        <v>52</v>
      </c>
      <c r="R22">
        <v>54</v>
      </c>
      <c r="S22">
        <v>58</v>
      </c>
      <c r="T22">
        <v>293</v>
      </c>
      <c r="U22">
        <v>73</v>
      </c>
      <c r="W22">
        <f>VLOOKUP(L22,Table13[],2,FALSE)</f>
        <v>10</v>
      </c>
      <c r="X22">
        <f>VLOOKUP($L22,Table13[],3,FALSE)</f>
        <v>12</v>
      </c>
      <c r="Y22">
        <f>VLOOKUP($L22,Table13[],4,FALSE)</f>
        <v>32</v>
      </c>
      <c r="Z22">
        <f>VLOOKUP($L22,Table13[],5,FALSE)</f>
        <v>42</v>
      </c>
      <c r="AA22">
        <f>VLOOKUP($L22,Table13[],6,FALSE)</f>
        <v>32</v>
      </c>
      <c r="AB22">
        <f>VLOOKUP($L22,Table13[],7,FALSE)</f>
        <v>27</v>
      </c>
      <c r="AC22">
        <f>VLOOKUP($L22,Table13[],8,FALSE)</f>
        <v>22</v>
      </c>
      <c r="AD22">
        <f>VLOOKUP($L22,Table13[],9,FALSE)</f>
        <v>180</v>
      </c>
      <c r="AF22" t="str">
        <f t="shared" si="2"/>
        <v>Cornell University</v>
      </c>
      <c r="AG22" s="16">
        <f t="shared" si="3"/>
        <v>0.7142857142857143</v>
      </c>
      <c r="AH22" s="16">
        <f t="shared" si="11"/>
        <v>0.6</v>
      </c>
      <c r="AI22" s="16">
        <f t="shared" si="12"/>
        <v>0.82051282051282048</v>
      </c>
      <c r="AJ22" s="16">
        <f t="shared" si="13"/>
        <v>0.75</v>
      </c>
      <c r="AK22" s="16">
        <f t="shared" si="14"/>
        <v>0.61538461538461542</v>
      </c>
      <c r="AL22" s="16">
        <f t="shared" si="15"/>
        <v>0.5</v>
      </c>
      <c r="AM22" s="16">
        <f t="shared" si="16"/>
        <v>0.37931034482758619</v>
      </c>
      <c r="AN22" s="16">
        <f t="shared" si="10"/>
        <v>0.61433447098976113</v>
      </c>
    </row>
    <row r="23" spans="1:40" x14ac:dyDescent="0.2">
      <c r="A23" s="11" t="s">
        <v>31</v>
      </c>
      <c r="B23">
        <v>26</v>
      </c>
      <c r="C23">
        <v>28</v>
      </c>
      <c r="D23">
        <v>15</v>
      </c>
      <c r="E23">
        <v>21</v>
      </c>
      <c r="F23">
        <v>32</v>
      </c>
      <c r="G23">
        <v>29</v>
      </c>
      <c r="H23">
        <v>32</v>
      </c>
      <c r="I23">
        <v>185</v>
      </c>
      <c r="J23">
        <v>46</v>
      </c>
      <c r="L23" s="1" t="s">
        <v>31</v>
      </c>
      <c r="M23">
        <v>28</v>
      </c>
      <c r="N23">
        <v>29</v>
      </c>
      <c r="O23">
        <v>18</v>
      </c>
      <c r="P23">
        <v>32</v>
      </c>
      <c r="Q23">
        <v>52</v>
      </c>
      <c r="R23">
        <v>52</v>
      </c>
      <c r="S23">
        <v>81</v>
      </c>
      <c r="T23">
        <v>292</v>
      </c>
      <c r="U23">
        <v>73</v>
      </c>
      <c r="W23">
        <f>VLOOKUP(L23,Table13[],2,FALSE)</f>
        <v>26</v>
      </c>
      <c r="X23">
        <f>VLOOKUP($L23,Table13[],3,FALSE)</f>
        <v>28</v>
      </c>
      <c r="Y23">
        <f>VLOOKUP($L23,Table13[],4,FALSE)</f>
        <v>15</v>
      </c>
      <c r="Z23">
        <f>VLOOKUP($L23,Table13[],5,FALSE)</f>
        <v>21</v>
      </c>
      <c r="AA23">
        <f>VLOOKUP($L23,Table13[],6,FALSE)</f>
        <v>32</v>
      </c>
      <c r="AB23">
        <f>VLOOKUP($L23,Table13[],7,FALSE)</f>
        <v>29</v>
      </c>
      <c r="AC23">
        <f>VLOOKUP($L23,Table13[],8,FALSE)</f>
        <v>32</v>
      </c>
      <c r="AD23">
        <f>VLOOKUP($L23,Table13[],9,FALSE)</f>
        <v>185</v>
      </c>
      <c r="AF23" t="str">
        <f t="shared" si="2"/>
        <v>Duke University</v>
      </c>
      <c r="AG23" s="16">
        <f t="shared" si="3"/>
        <v>0.9285714285714286</v>
      </c>
      <c r="AH23" s="16">
        <f t="shared" si="11"/>
        <v>0.96551724137931039</v>
      </c>
      <c r="AI23" s="16">
        <f t="shared" si="12"/>
        <v>0.83333333333333337</v>
      </c>
      <c r="AJ23" s="16">
        <f t="shared" si="13"/>
        <v>0.65625</v>
      </c>
      <c r="AK23" s="16">
        <f t="shared" si="14"/>
        <v>0.61538461538461542</v>
      </c>
      <c r="AL23" s="16">
        <f t="shared" si="15"/>
        <v>0.55769230769230771</v>
      </c>
      <c r="AM23" s="16">
        <f t="shared" si="16"/>
        <v>0.39506172839506171</v>
      </c>
      <c r="AN23" s="16">
        <f t="shared" si="10"/>
        <v>0.63356164383561642</v>
      </c>
    </row>
    <row r="24" spans="1:40" x14ac:dyDescent="0.2">
      <c r="A24" s="11" t="s">
        <v>32</v>
      </c>
      <c r="B24">
        <v>22</v>
      </c>
      <c r="C24">
        <v>9</v>
      </c>
      <c r="D24">
        <v>28</v>
      </c>
      <c r="E24">
        <v>38</v>
      </c>
      <c r="F24">
        <v>24</v>
      </c>
      <c r="G24">
        <v>21</v>
      </c>
      <c r="H24">
        <v>39</v>
      </c>
      <c r="I24">
        <v>183</v>
      </c>
      <c r="J24">
        <v>45</v>
      </c>
      <c r="L24" s="1" t="s">
        <v>32</v>
      </c>
      <c r="M24">
        <v>23</v>
      </c>
      <c r="N24">
        <v>11</v>
      </c>
      <c r="O24">
        <v>36</v>
      </c>
      <c r="P24">
        <v>58</v>
      </c>
      <c r="Q24">
        <v>37</v>
      </c>
      <c r="R24">
        <v>42</v>
      </c>
      <c r="S24">
        <v>81</v>
      </c>
      <c r="T24">
        <v>288</v>
      </c>
      <c r="U24">
        <v>72</v>
      </c>
      <c r="W24">
        <f>VLOOKUP(L24,Table13[],2,FALSE)</f>
        <v>22</v>
      </c>
      <c r="X24">
        <f>VLOOKUP($L24,Table13[],3,FALSE)</f>
        <v>9</v>
      </c>
      <c r="Y24">
        <f>VLOOKUP($L24,Table13[],4,FALSE)</f>
        <v>28</v>
      </c>
      <c r="Z24">
        <f>VLOOKUP($L24,Table13[],5,FALSE)</f>
        <v>38</v>
      </c>
      <c r="AA24">
        <f>VLOOKUP($L24,Table13[],6,FALSE)</f>
        <v>24</v>
      </c>
      <c r="AB24">
        <f>VLOOKUP($L24,Table13[],7,FALSE)</f>
        <v>21</v>
      </c>
      <c r="AC24">
        <f>VLOOKUP($L24,Table13[],8,FALSE)</f>
        <v>39</v>
      </c>
      <c r="AD24">
        <f>VLOOKUP($L24,Table13[],9,FALSE)</f>
        <v>183</v>
      </c>
      <c r="AF24" t="str">
        <f t="shared" si="2"/>
        <v>Brown University</v>
      </c>
      <c r="AG24" s="16">
        <f t="shared" si="3"/>
        <v>0.95652173913043481</v>
      </c>
      <c r="AH24" s="16">
        <f t="shared" si="11"/>
        <v>0.81818181818181823</v>
      </c>
      <c r="AI24" s="16">
        <f t="shared" si="12"/>
        <v>0.77777777777777779</v>
      </c>
      <c r="AJ24" s="16">
        <f t="shared" si="13"/>
        <v>0.65517241379310343</v>
      </c>
      <c r="AK24" s="16">
        <f t="shared" si="14"/>
        <v>0.64864864864864868</v>
      </c>
      <c r="AL24" s="16">
        <f t="shared" si="15"/>
        <v>0.5</v>
      </c>
      <c r="AM24" s="16">
        <f t="shared" si="16"/>
        <v>0.48148148148148145</v>
      </c>
      <c r="AN24" s="16">
        <f t="shared" si="10"/>
        <v>0.63541666666666663</v>
      </c>
    </row>
    <row r="25" spans="1:40" x14ac:dyDescent="0.2">
      <c r="A25" s="11" t="s">
        <v>33</v>
      </c>
      <c r="B25">
        <v>20</v>
      </c>
      <c r="C25">
        <v>21</v>
      </c>
      <c r="D25">
        <v>27</v>
      </c>
      <c r="E25">
        <v>43</v>
      </c>
      <c r="F25">
        <v>36</v>
      </c>
      <c r="G25">
        <v>19</v>
      </c>
      <c r="H25">
        <v>15</v>
      </c>
      <c r="I25">
        <v>183</v>
      </c>
      <c r="J25">
        <v>45</v>
      </c>
      <c r="L25" s="1" t="s">
        <v>30</v>
      </c>
      <c r="M25">
        <v>25</v>
      </c>
      <c r="N25">
        <v>13</v>
      </c>
      <c r="O25">
        <v>22</v>
      </c>
      <c r="P25">
        <v>55</v>
      </c>
      <c r="Q25">
        <v>34</v>
      </c>
      <c r="R25">
        <v>73</v>
      </c>
      <c r="S25">
        <v>58</v>
      </c>
      <c r="T25">
        <v>280</v>
      </c>
      <c r="U25">
        <v>70</v>
      </c>
      <c r="W25">
        <f>VLOOKUP(L25,Table13[],2,FALSE)</f>
        <v>21</v>
      </c>
      <c r="X25">
        <f>VLOOKUP($L25,Table13[],3,FALSE)</f>
        <v>12</v>
      </c>
      <c r="Y25">
        <f>VLOOKUP($L25,Table13[],4,FALSE)</f>
        <v>19</v>
      </c>
      <c r="Z25">
        <f>VLOOKUP($L25,Table13[],5,FALSE)</f>
        <v>42</v>
      </c>
      <c r="AA25">
        <f>VLOOKUP($L25,Table13[],6,FALSE)</f>
        <v>20</v>
      </c>
      <c r="AB25">
        <f>VLOOKUP($L25,Table13[],7,FALSE)</f>
        <v>42</v>
      </c>
      <c r="AC25">
        <f>VLOOKUP($L25,Table13[],8,FALSE)</f>
        <v>29</v>
      </c>
      <c r="AD25">
        <f>VLOOKUP($L25,Table13[],9,FALSE)</f>
        <v>187</v>
      </c>
      <c r="AF25" t="str">
        <f t="shared" si="2"/>
        <v>Board Of Governors Of The Federal Reserve System</v>
      </c>
      <c r="AG25" s="16">
        <f t="shared" si="3"/>
        <v>0.84</v>
      </c>
      <c r="AH25" s="16">
        <f t="shared" si="11"/>
        <v>0.92307692307692313</v>
      </c>
      <c r="AI25" s="16">
        <f t="shared" si="12"/>
        <v>0.86363636363636365</v>
      </c>
      <c r="AJ25" s="16">
        <f t="shared" si="13"/>
        <v>0.76363636363636367</v>
      </c>
      <c r="AK25" s="16">
        <f t="shared" si="14"/>
        <v>0.58823529411764708</v>
      </c>
      <c r="AL25" s="16">
        <f t="shared" si="15"/>
        <v>0.57534246575342463</v>
      </c>
      <c r="AM25" s="16">
        <f t="shared" si="16"/>
        <v>0.5</v>
      </c>
      <c r="AN25" s="16">
        <f t="shared" si="10"/>
        <v>0.66785714285714282</v>
      </c>
    </row>
    <row r="26" spans="1:40" x14ac:dyDescent="0.2">
      <c r="A26" s="11" t="s">
        <v>34</v>
      </c>
      <c r="B26">
        <v>10</v>
      </c>
      <c r="C26">
        <v>12</v>
      </c>
      <c r="D26">
        <v>32</v>
      </c>
      <c r="E26">
        <v>42</v>
      </c>
      <c r="F26">
        <v>32</v>
      </c>
      <c r="G26">
        <v>27</v>
      </c>
      <c r="H26">
        <v>22</v>
      </c>
      <c r="I26">
        <v>180</v>
      </c>
      <c r="J26">
        <v>45</v>
      </c>
      <c r="L26" s="1" t="s">
        <v>45</v>
      </c>
      <c r="M26">
        <v>0</v>
      </c>
      <c r="N26">
        <v>0</v>
      </c>
      <c r="O26">
        <v>0</v>
      </c>
      <c r="P26">
        <v>77</v>
      </c>
      <c r="Q26">
        <v>81</v>
      </c>
      <c r="R26">
        <v>62</v>
      </c>
      <c r="S26">
        <v>58</v>
      </c>
      <c r="T26">
        <v>278</v>
      </c>
      <c r="U26">
        <v>111</v>
      </c>
      <c r="W26">
        <f>VLOOKUP(L26,Table13[],2,FALSE)</f>
        <v>0</v>
      </c>
      <c r="X26">
        <f>VLOOKUP($L26,Table13[],3,FALSE)</f>
        <v>0</v>
      </c>
      <c r="Y26">
        <f>VLOOKUP($L26,Table13[],4,FALSE)</f>
        <v>0</v>
      </c>
      <c r="Z26">
        <f>VLOOKUP($L26,Table13[],5,FALSE)</f>
        <v>42</v>
      </c>
      <c r="AA26">
        <f>VLOOKUP($L26,Table13[],6,FALSE)</f>
        <v>45</v>
      </c>
      <c r="AB26">
        <f>VLOOKUP($L26,Table13[],7,FALSE)</f>
        <v>26</v>
      </c>
      <c r="AC26">
        <f>VLOOKUP($L26,Table13[],8,FALSE)</f>
        <v>18</v>
      </c>
      <c r="AD26">
        <f>VLOOKUP($L26,Table13[],9,FALSE)</f>
        <v>132</v>
      </c>
      <c r="AF26" t="str">
        <f t="shared" si="2"/>
        <v>Tel Aviv University</v>
      </c>
      <c r="AG26" s="16" t="str">
        <f t="shared" si="3"/>
        <v/>
      </c>
      <c r="AH26" s="16" t="str">
        <f t="shared" si="11"/>
        <v/>
      </c>
      <c r="AI26" s="16" t="str">
        <f t="shared" si="12"/>
        <v/>
      </c>
      <c r="AJ26" s="16">
        <f t="shared" si="13"/>
        <v>0.54545454545454541</v>
      </c>
      <c r="AK26" s="16">
        <f t="shared" si="14"/>
        <v>0.55555555555555558</v>
      </c>
      <c r="AL26" s="16">
        <f t="shared" si="15"/>
        <v>0.41935483870967744</v>
      </c>
      <c r="AM26" s="16">
        <f t="shared" si="16"/>
        <v>0.31034482758620691</v>
      </c>
      <c r="AN26" s="16">
        <f t="shared" si="10"/>
        <v>0.47482014388489208</v>
      </c>
    </row>
    <row r="27" spans="1:40" x14ac:dyDescent="0.2">
      <c r="A27" s="11" t="s">
        <v>35</v>
      </c>
      <c r="B27">
        <v>5</v>
      </c>
      <c r="C27">
        <v>10</v>
      </c>
      <c r="D27">
        <v>7</v>
      </c>
      <c r="E27">
        <v>33</v>
      </c>
      <c r="F27">
        <v>37</v>
      </c>
      <c r="G27">
        <v>26</v>
      </c>
      <c r="H27">
        <v>42</v>
      </c>
      <c r="I27">
        <v>162</v>
      </c>
      <c r="J27">
        <v>40</v>
      </c>
      <c r="L27" s="1" t="s">
        <v>35</v>
      </c>
      <c r="M27">
        <v>5</v>
      </c>
      <c r="N27">
        <v>12</v>
      </c>
      <c r="O27">
        <v>8</v>
      </c>
      <c r="P27">
        <v>50</v>
      </c>
      <c r="Q27">
        <v>65</v>
      </c>
      <c r="R27">
        <v>56</v>
      </c>
      <c r="S27">
        <v>82</v>
      </c>
      <c r="T27">
        <v>278</v>
      </c>
      <c r="U27">
        <v>69</v>
      </c>
      <c r="W27">
        <f>VLOOKUP(L27,Table13[],2,FALSE)</f>
        <v>5</v>
      </c>
      <c r="X27">
        <f>VLOOKUP($L27,Table13[],3,FALSE)</f>
        <v>10</v>
      </c>
      <c r="Y27">
        <f>VLOOKUP($L27,Table13[],4,FALSE)</f>
        <v>7</v>
      </c>
      <c r="Z27">
        <f>VLOOKUP($L27,Table13[],5,FALSE)</f>
        <v>33</v>
      </c>
      <c r="AA27">
        <f>VLOOKUP($L27,Table13[],6,FALSE)</f>
        <v>37</v>
      </c>
      <c r="AB27">
        <f>VLOOKUP($L27,Table13[],7,FALSE)</f>
        <v>26</v>
      </c>
      <c r="AC27">
        <f>VLOOKUP($L27,Table13[],8,FALSE)</f>
        <v>42</v>
      </c>
      <c r="AD27">
        <f>VLOOKUP($L27,Table13[],9,FALSE)</f>
        <v>162</v>
      </c>
      <c r="AF27" t="str">
        <f t="shared" si="2"/>
        <v>University Of Maryland</v>
      </c>
      <c r="AG27" s="16">
        <f t="shared" si="3"/>
        <v>1</v>
      </c>
      <c r="AH27" s="16">
        <f t="shared" si="11"/>
        <v>0.83333333333333337</v>
      </c>
      <c r="AI27" s="16">
        <f t="shared" si="12"/>
        <v>0.875</v>
      </c>
      <c r="AJ27" s="16">
        <f t="shared" si="13"/>
        <v>0.66</v>
      </c>
      <c r="AK27" s="16">
        <f t="shared" si="14"/>
        <v>0.56923076923076921</v>
      </c>
      <c r="AL27" s="16">
        <f t="shared" si="15"/>
        <v>0.4642857142857143</v>
      </c>
      <c r="AM27" s="16">
        <f t="shared" si="16"/>
        <v>0.51219512195121952</v>
      </c>
      <c r="AN27" s="16">
        <f t="shared" si="10"/>
        <v>0.58273381294964033</v>
      </c>
    </row>
    <row r="28" spans="1:40" x14ac:dyDescent="0.2">
      <c r="A28" s="11" t="s">
        <v>36</v>
      </c>
      <c r="B28">
        <v>9</v>
      </c>
      <c r="C28">
        <v>21</v>
      </c>
      <c r="D28">
        <v>33</v>
      </c>
      <c r="E28">
        <v>47</v>
      </c>
      <c r="F28">
        <v>28</v>
      </c>
      <c r="G28">
        <v>18</v>
      </c>
      <c r="H28">
        <v>3</v>
      </c>
      <c r="I28">
        <v>161</v>
      </c>
      <c r="J28">
        <v>40</v>
      </c>
      <c r="L28" s="1" t="s">
        <v>38</v>
      </c>
      <c r="M28">
        <v>0</v>
      </c>
      <c r="N28">
        <v>0</v>
      </c>
      <c r="O28">
        <v>8</v>
      </c>
      <c r="P28">
        <v>41</v>
      </c>
      <c r="Q28">
        <v>69</v>
      </c>
      <c r="R28">
        <v>68</v>
      </c>
      <c r="S28">
        <v>74</v>
      </c>
      <c r="T28">
        <v>260</v>
      </c>
      <c r="U28">
        <v>86</v>
      </c>
      <c r="W28">
        <f>VLOOKUP(L28,Table13[],2,FALSE)</f>
        <v>0</v>
      </c>
      <c r="X28">
        <f>VLOOKUP($L28,Table13[],3,FALSE)</f>
        <v>0</v>
      </c>
      <c r="Y28">
        <f>VLOOKUP($L28,Table13[],4,FALSE)</f>
        <v>5</v>
      </c>
      <c r="Z28">
        <f>VLOOKUP($L28,Table13[],5,FALSE)</f>
        <v>30</v>
      </c>
      <c r="AA28">
        <f>VLOOKUP($L28,Table13[],6,FALSE)</f>
        <v>42</v>
      </c>
      <c r="AB28">
        <f>VLOOKUP($L28,Table13[],7,FALSE)</f>
        <v>40</v>
      </c>
      <c r="AC28">
        <f>VLOOKUP($L28,Table13[],8,FALSE)</f>
        <v>33</v>
      </c>
      <c r="AD28">
        <f>VLOOKUP($L28,Table13[],9,FALSE)</f>
        <v>151</v>
      </c>
      <c r="AF28" t="str">
        <f t="shared" si="2"/>
        <v>University Of California, San Diego</v>
      </c>
      <c r="AG28" s="16" t="str">
        <f t="shared" si="3"/>
        <v/>
      </c>
      <c r="AH28" s="16" t="str">
        <f t="shared" si="11"/>
        <v/>
      </c>
      <c r="AI28" s="16">
        <f t="shared" si="12"/>
        <v>0.625</v>
      </c>
      <c r="AJ28" s="16">
        <f t="shared" si="13"/>
        <v>0.73170731707317072</v>
      </c>
      <c r="AK28" s="16">
        <f t="shared" si="14"/>
        <v>0.60869565217391308</v>
      </c>
      <c r="AL28" s="16">
        <f t="shared" si="15"/>
        <v>0.58823529411764708</v>
      </c>
      <c r="AM28" s="16">
        <f t="shared" si="16"/>
        <v>0.44594594594594594</v>
      </c>
      <c r="AN28" s="16">
        <f t="shared" si="10"/>
        <v>0.58076923076923082</v>
      </c>
    </row>
    <row r="29" spans="1:40" x14ac:dyDescent="0.2">
      <c r="A29" s="11" t="s">
        <v>37</v>
      </c>
      <c r="B29">
        <v>3</v>
      </c>
      <c r="C29">
        <v>7</v>
      </c>
      <c r="D29">
        <v>6</v>
      </c>
      <c r="E29">
        <v>33</v>
      </c>
      <c r="F29">
        <v>33</v>
      </c>
      <c r="G29">
        <v>31</v>
      </c>
      <c r="H29">
        <v>37</v>
      </c>
      <c r="I29">
        <v>152</v>
      </c>
      <c r="J29">
        <v>38</v>
      </c>
      <c r="L29" s="1" t="s">
        <v>33</v>
      </c>
      <c r="M29">
        <v>21</v>
      </c>
      <c r="N29">
        <v>24</v>
      </c>
      <c r="O29">
        <v>36</v>
      </c>
      <c r="P29">
        <v>50</v>
      </c>
      <c r="Q29">
        <v>55</v>
      </c>
      <c r="R29">
        <v>39</v>
      </c>
      <c r="S29">
        <v>32</v>
      </c>
      <c r="T29">
        <v>257</v>
      </c>
      <c r="U29">
        <v>64</v>
      </c>
      <c r="W29">
        <f>VLOOKUP(L29,Table13[],2,FALSE)</f>
        <v>20</v>
      </c>
      <c r="X29">
        <f>VLOOKUP($L29,Table13[],3,FALSE)</f>
        <v>21</v>
      </c>
      <c r="Y29">
        <f>VLOOKUP($L29,Table13[],4,FALSE)</f>
        <v>27</v>
      </c>
      <c r="Z29">
        <f>VLOOKUP($L29,Table13[],5,FALSE)</f>
        <v>43</v>
      </c>
      <c r="AA29">
        <f>VLOOKUP($L29,Table13[],6,FALSE)</f>
        <v>36</v>
      </c>
      <c r="AB29">
        <f>VLOOKUP($L29,Table13[],7,FALSE)</f>
        <v>19</v>
      </c>
      <c r="AC29">
        <f>VLOOKUP($L29,Table13[],8,FALSE)</f>
        <v>15</v>
      </c>
      <c r="AD29">
        <f>VLOOKUP($L29,Table13[],9,FALSE)</f>
        <v>183</v>
      </c>
      <c r="AF29" t="str">
        <f t="shared" si="2"/>
        <v>University Of Virginia</v>
      </c>
      <c r="AG29" s="16">
        <f t="shared" si="3"/>
        <v>0.95238095238095233</v>
      </c>
      <c r="AH29" s="16">
        <f t="shared" si="11"/>
        <v>0.875</v>
      </c>
      <c r="AI29" s="16">
        <f t="shared" si="12"/>
        <v>0.75</v>
      </c>
      <c r="AJ29" s="16">
        <f t="shared" si="13"/>
        <v>0.86</v>
      </c>
      <c r="AK29" s="16">
        <f t="shared" si="14"/>
        <v>0.65454545454545454</v>
      </c>
      <c r="AL29" s="16">
        <f t="shared" si="15"/>
        <v>0.48717948717948717</v>
      </c>
      <c r="AM29" s="16">
        <f t="shared" si="16"/>
        <v>0.46875</v>
      </c>
      <c r="AN29" s="16">
        <f t="shared" si="10"/>
        <v>0.71206225680933855</v>
      </c>
    </row>
    <row r="30" spans="1:40" x14ac:dyDescent="0.2">
      <c r="A30" s="11" t="s">
        <v>38</v>
      </c>
      <c r="B30">
        <v>0</v>
      </c>
      <c r="C30">
        <v>0</v>
      </c>
      <c r="D30">
        <v>5</v>
      </c>
      <c r="E30">
        <v>30</v>
      </c>
      <c r="F30">
        <v>42</v>
      </c>
      <c r="G30">
        <v>40</v>
      </c>
      <c r="H30">
        <v>33</v>
      </c>
      <c r="I30">
        <v>151</v>
      </c>
      <c r="J30">
        <v>50</v>
      </c>
      <c r="L30" s="1" t="s">
        <v>42</v>
      </c>
      <c r="M30">
        <v>0</v>
      </c>
      <c r="N30">
        <v>2</v>
      </c>
      <c r="O30">
        <v>11</v>
      </c>
      <c r="P30">
        <v>79</v>
      </c>
      <c r="Q30">
        <v>57</v>
      </c>
      <c r="R30">
        <v>44</v>
      </c>
      <c r="S30">
        <v>54</v>
      </c>
      <c r="T30">
        <v>247</v>
      </c>
      <c r="U30">
        <v>70</v>
      </c>
      <c r="W30">
        <f>VLOOKUP(L30,Table13[],2,FALSE)</f>
        <v>0</v>
      </c>
      <c r="X30">
        <f>VLOOKUP($L30,Table13[],3,FALSE)</f>
        <v>2</v>
      </c>
      <c r="Y30">
        <f>VLOOKUP($L30,Table13[],4,FALSE)</f>
        <v>6</v>
      </c>
      <c r="Z30">
        <f>VLOOKUP($L30,Table13[],5,FALSE)</f>
        <v>49</v>
      </c>
      <c r="AA30">
        <f>VLOOKUP($L30,Table13[],6,FALSE)</f>
        <v>34</v>
      </c>
      <c r="AB30">
        <f>VLOOKUP($L30,Table13[],7,FALSE)</f>
        <v>18</v>
      </c>
      <c r="AC30">
        <f>VLOOKUP($L30,Table13[],8,FALSE)</f>
        <v>24</v>
      </c>
      <c r="AD30">
        <f>VLOOKUP($L30,Table13[],9,FALSE)</f>
        <v>135</v>
      </c>
      <c r="AF30" t="str">
        <f t="shared" si="2"/>
        <v>University Of British Columbia</v>
      </c>
      <c r="AG30" s="16" t="str">
        <f t="shared" si="3"/>
        <v/>
      </c>
      <c r="AH30" s="16">
        <f t="shared" si="11"/>
        <v>1</v>
      </c>
      <c r="AI30" s="16">
        <f t="shared" si="12"/>
        <v>0.54545454545454541</v>
      </c>
      <c r="AJ30" s="16">
        <f t="shared" si="13"/>
        <v>0.620253164556962</v>
      </c>
      <c r="AK30" s="16">
        <f t="shared" si="14"/>
        <v>0.59649122807017541</v>
      </c>
      <c r="AL30" s="16">
        <f t="shared" si="15"/>
        <v>0.40909090909090912</v>
      </c>
      <c r="AM30" s="16">
        <f t="shared" si="16"/>
        <v>0.44444444444444442</v>
      </c>
      <c r="AN30" s="16">
        <f t="shared" si="10"/>
        <v>0.54655870445344135</v>
      </c>
    </row>
    <row r="31" spans="1:40" x14ac:dyDescent="0.2">
      <c r="A31" s="11" t="s">
        <v>39</v>
      </c>
      <c r="B31">
        <v>0</v>
      </c>
      <c r="C31">
        <v>35</v>
      </c>
      <c r="D31">
        <v>42</v>
      </c>
      <c r="E31">
        <v>36</v>
      </c>
      <c r="F31">
        <v>13</v>
      </c>
      <c r="G31">
        <v>6</v>
      </c>
      <c r="H31">
        <v>7</v>
      </c>
      <c r="I31">
        <v>141</v>
      </c>
      <c r="J31">
        <v>40</v>
      </c>
      <c r="L31" s="1" t="s">
        <v>37</v>
      </c>
      <c r="M31">
        <v>3</v>
      </c>
      <c r="N31">
        <v>7</v>
      </c>
      <c r="O31">
        <v>9</v>
      </c>
      <c r="P31">
        <v>51</v>
      </c>
      <c r="Q31">
        <v>46</v>
      </c>
      <c r="R31">
        <v>47</v>
      </c>
      <c r="S31">
        <v>76</v>
      </c>
      <c r="T31">
        <v>239</v>
      </c>
      <c r="U31">
        <v>59</v>
      </c>
      <c r="W31">
        <f>VLOOKUP(L31,Table13[],2,FALSE)</f>
        <v>3</v>
      </c>
      <c r="X31">
        <f>VLOOKUP($L31,Table13[],3,FALSE)</f>
        <v>7</v>
      </c>
      <c r="Y31">
        <f>VLOOKUP($L31,Table13[],4,FALSE)</f>
        <v>6</v>
      </c>
      <c r="Z31">
        <f>VLOOKUP($L31,Table13[],5,FALSE)</f>
        <v>33</v>
      </c>
      <c r="AA31">
        <f>VLOOKUP($L31,Table13[],6,FALSE)</f>
        <v>33</v>
      </c>
      <c r="AB31">
        <f>VLOOKUP($L31,Table13[],7,FALSE)</f>
        <v>31</v>
      </c>
      <c r="AC31">
        <f>VLOOKUP($L31,Table13[],8,FALSE)</f>
        <v>37</v>
      </c>
      <c r="AD31">
        <f>VLOOKUP($L31,Table13[],9,FALSE)</f>
        <v>152</v>
      </c>
      <c r="AF31" t="str">
        <f t="shared" si="2"/>
        <v>University Of Toronto</v>
      </c>
      <c r="AG31" s="16">
        <f t="shared" si="3"/>
        <v>1</v>
      </c>
      <c r="AH31" s="16">
        <f t="shared" si="11"/>
        <v>1</v>
      </c>
      <c r="AI31" s="16">
        <f t="shared" si="12"/>
        <v>0.66666666666666663</v>
      </c>
      <c r="AJ31" s="16">
        <f t="shared" si="13"/>
        <v>0.6470588235294118</v>
      </c>
      <c r="AK31" s="16">
        <f t="shared" si="14"/>
        <v>0.71739130434782605</v>
      </c>
      <c r="AL31" s="16">
        <f t="shared" si="15"/>
        <v>0.65957446808510634</v>
      </c>
      <c r="AM31" s="16">
        <f t="shared" si="16"/>
        <v>0.48684210526315791</v>
      </c>
      <c r="AN31" s="16">
        <f t="shared" si="10"/>
        <v>0.63598326359832635</v>
      </c>
    </row>
    <row r="32" spans="1:40" x14ac:dyDescent="0.2">
      <c r="A32" s="11" t="s">
        <v>40</v>
      </c>
      <c r="B32">
        <v>0</v>
      </c>
      <c r="C32">
        <v>0</v>
      </c>
      <c r="D32">
        <v>14</v>
      </c>
      <c r="E32">
        <v>30</v>
      </c>
      <c r="F32">
        <v>63</v>
      </c>
      <c r="G32">
        <v>21</v>
      </c>
      <c r="H32">
        <v>10</v>
      </c>
      <c r="I32">
        <v>140</v>
      </c>
      <c r="J32">
        <v>46</v>
      </c>
      <c r="L32" s="1" t="s">
        <v>43</v>
      </c>
      <c r="M32">
        <v>20</v>
      </c>
      <c r="N32">
        <v>8</v>
      </c>
      <c r="O32">
        <v>16</v>
      </c>
      <c r="P32">
        <v>43</v>
      </c>
      <c r="Q32">
        <v>48</v>
      </c>
      <c r="R32">
        <v>36</v>
      </c>
      <c r="S32">
        <v>50</v>
      </c>
      <c r="T32">
        <v>221</v>
      </c>
      <c r="U32">
        <v>55</v>
      </c>
      <c r="W32">
        <f>VLOOKUP(L32,Table13[],2,FALSE)</f>
        <v>16</v>
      </c>
      <c r="X32">
        <f>VLOOKUP($L32,Table13[],3,FALSE)</f>
        <v>6</v>
      </c>
      <c r="Y32">
        <f>VLOOKUP($L32,Table13[],4,FALSE)</f>
        <v>9</v>
      </c>
      <c r="Z32">
        <f>VLOOKUP($L32,Table13[],5,FALSE)</f>
        <v>31</v>
      </c>
      <c r="AA32">
        <f>VLOOKUP($L32,Table13[],6,FALSE)</f>
        <v>31</v>
      </c>
      <c r="AB32">
        <f>VLOOKUP($L32,Table13[],7,FALSE)</f>
        <v>17</v>
      </c>
      <c r="AC32">
        <f>VLOOKUP($L32,Table13[],8,FALSE)</f>
        <v>22</v>
      </c>
      <c r="AD32">
        <f>VLOOKUP($L32,Table13[],9,FALSE)</f>
        <v>135</v>
      </c>
      <c r="AF32" t="str">
        <f t="shared" si="2"/>
        <v>Ohio State University</v>
      </c>
      <c r="AG32" s="16">
        <f t="shared" si="3"/>
        <v>0.8</v>
      </c>
      <c r="AH32" s="16">
        <f t="shared" si="11"/>
        <v>0.75</v>
      </c>
      <c r="AI32" s="16">
        <f t="shared" si="12"/>
        <v>0.5625</v>
      </c>
      <c r="AJ32" s="16">
        <f t="shared" si="13"/>
        <v>0.72093023255813948</v>
      </c>
      <c r="AK32" s="16">
        <f t="shared" si="14"/>
        <v>0.64583333333333337</v>
      </c>
      <c r="AL32" s="16">
        <f t="shared" si="15"/>
        <v>0.47222222222222221</v>
      </c>
      <c r="AM32" s="16">
        <f t="shared" si="16"/>
        <v>0.44</v>
      </c>
      <c r="AN32" s="16">
        <f t="shared" si="10"/>
        <v>0.61085972850678738</v>
      </c>
    </row>
    <row r="33" spans="1:40" x14ac:dyDescent="0.2">
      <c r="A33" s="11" t="s">
        <v>41</v>
      </c>
      <c r="B33">
        <v>1</v>
      </c>
      <c r="C33">
        <v>22</v>
      </c>
      <c r="D33">
        <v>44</v>
      </c>
      <c r="E33">
        <v>24</v>
      </c>
      <c r="F33">
        <v>26</v>
      </c>
      <c r="G33">
        <v>14</v>
      </c>
      <c r="H33">
        <v>6</v>
      </c>
      <c r="I33">
        <v>138</v>
      </c>
      <c r="J33">
        <v>34</v>
      </c>
      <c r="L33" s="1" t="s">
        <v>39</v>
      </c>
      <c r="M33">
        <v>0</v>
      </c>
      <c r="N33">
        <v>41</v>
      </c>
      <c r="O33">
        <v>62</v>
      </c>
      <c r="P33">
        <v>57</v>
      </c>
      <c r="Q33">
        <v>25</v>
      </c>
      <c r="R33">
        <v>14</v>
      </c>
      <c r="S33">
        <v>19</v>
      </c>
      <c r="T33">
        <v>218</v>
      </c>
      <c r="U33">
        <v>62</v>
      </c>
      <c r="W33">
        <f>VLOOKUP(L33,Table13[],2,FALSE)</f>
        <v>0</v>
      </c>
      <c r="X33">
        <f>VLOOKUP($L33,Table13[],3,FALSE)</f>
        <v>35</v>
      </c>
      <c r="Y33">
        <f>VLOOKUP($L33,Table13[],4,FALSE)</f>
        <v>42</v>
      </c>
      <c r="Z33">
        <f>VLOOKUP($L33,Table13[],5,FALSE)</f>
        <v>36</v>
      </c>
      <c r="AA33">
        <f>VLOOKUP($L33,Table13[],6,FALSE)</f>
        <v>13</v>
      </c>
      <c r="AB33">
        <f>VLOOKUP($L33,Table13[],7,FALSE)</f>
        <v>6</v>
      </c>
      <c r="AC33">
        <f>VLOOKUP($L33,Table13[],8,FALSE)</f>
        <v>7</v>
      </c>
      <c r="AD33">
        <f>VLOOKUP($L33,Table13[],9,FALSE)</f>
        <v>141</v>
      </c>
      <c r="AF33" t="str">
        <f t="shared" si="2"/>
        <v>Rand Corporation</v>
      </c>
      <c r="AG33" s="16" t="str">
        <f t="shared" si="3"/>
        <v/>
      </c>
      <c r="AH33" s="16">
        <f t="shared" si="11"/>
        <v>0.85365853658536583</v>
      </c>
      <c r="AI33" s="16">
        <f t="shared" si="12"/>
        <v>0.67741935483870963</v>
      </c>
      <c r="AJ33" s="16">
        <f t="shared" si="13"/>
        <v>0.63157894736842102</v>
      </c>
      <c r="AK33" s="16">
        <f t="shared" si="14"/>
        <v>0.52</v>
      </c>
      <c r="AL33" s="16">
        <f t="shared" si="15"/>
        <v>0.42857142857142855</v>
      </c>
      <c r="AM33" s="16">
        <f t="shared" si="16"/>
        <v>0.36842105263157893</v>
      </c>
      <c r="AN33" s="16">
        <f t="shared" si="10"/>
        <v>0.64678899082568808</v>
      </c>
    </row>
    <row r="34" spans="1:40" x14ac:dyDescent="0.2">
      <c r="A34" s="11" t="s">
        <v>42</v>
      </c>
      <c r="B34">
        <v>0</v>
      </c>
      <c r="C34">
        <v>2</v>
      </c>
      <c r="D34">
        <v>6</v>
      </c>
      <c r="E34">
        <v>49</v>
      </c>
      <c r="F34">
        <v>34</v>
      </c>
      <c r="G34">
        <v>18</v>
      </c>
      <c r="H34">
        <v>24</v>
      </c>
      <c r="I34">
        <v>135</v>
      </c>
      <c r="J34">
        <v>38</v>
      </c>
      <c r="L34" s="1" t="s">
        <v>36</v>
      </c>
      <c r="M34">
        <v>9</v>
      </c>
      <c r="N34">
        <v>24</v>
      </c>
      <c r="O34">
        <v>43</v>
      </c>
      <c r="P34">
        <v>58</v>
      </c>
      <c r="Q34">
        <v>40</v>
      </c>
      <c r="R34">
        <v>32</v>
      </c>
      <c r="S34">
        <v>8</v>
      </c>
      <c r="T34">
        <v>214</v>
      </c>
      <c r="U34">
        <v>53</v>
      </c>
      <c r="W34">
        <f>VLOOKUP(L34,Table13[],2,FALSE)</f>
        <v>9</v>
      </c>
      <c r="X34">
        <f>VLOOKUP($L34,Table13[],3,FALSE)</f>
        <v>21</v>
      </c>
      <c r="Y34">
        <f>VLOOKUP($L34,Table13[],4,FALSE)</f>
        <v>33</v>
      </c>
      <c r="Z34">
        <f>VLOOKUP($L34,Table13[],5,FALSE)</f>
        <v>47</v>
      </c>
      <c r="AA34">
        <f>VLOOKUP($L34,Table13[],6,FALSE)</f>
        <v>28</v>
      </c>
      <c r="AB34">
        <f>VLOOKUP($L34,Table13[],7,FALSE)</f>
        <v>18</v>
      </c>
      <c r="AC34">
        <f>VLOOKUP($L34,Table13[],8,FALSE)</f>
        <v>3</v>
      </c>
      <c r="AD34">
        <f>VLOOKUP($L34,Table13[],9,FALSE)</f>
        <v>161</v>
      </c>
      <c r="AF34" t="str">
        <f t="shared" si="2"/>
        <v>University Of Washington</v>
      </c>
      <c r="AG34" s="16">
        <f t="shared" si="3"/>
        <v>1</v>
      </c>
      <c r="AH34" s="16">
        <f t="shared" si="11"/>
        <v>0.875</v>
      </c>
      <c r="AI34" s="16">
        <f t="shared" si="12"/>
        <v>0.76744186046511631</v>
      </c>
      <c r="AJ34" s="16">
        <f t="shared" si="13"/>
        <v>0.81034482758620685</v>
      </c>
      <c r="AK34" s="16">
        <f t="shared" si="14"/>
        <v>0.7</v>
      </c>
      <c r="AL34" s="16">
        <f t="shared" si="15"/>
        <v>0.5625</v>
      </c>
      <c r="AM34" s="16">
        <f t="shared" si="16"/>
        <v>0.375</v>
      </c>
      <c r="AN34" s="16">
        <f t="shared" si="10"/>
        <v>0.75233644859813087</v>
      </c>
    </row>
    <row r="35" spans="1:40" x14ac:dyDescent="0.2">
      <c r="A35" s="11" t="s">
        <v>43</v>
      </c>
      <c r="B35">
        <v>16</v>
      </c>
      <c r="C35">
        <v>6</v>
      </c>
      <c r="D35">
        <v>9</v>
      </c>
      <c r="E35">
        <v>31</v>
      </c>
      <c r="F35">
        <v>31</v>
      </c>
      <c r="G35">
        <v>17</v>
      </c>
      <c r="H35">
        <v>22</v>
      </c>
      <c r="I35">
        <v>135</v>
      </c>
      <c r="J35">
        <v>33</v>
      </c>
      <c r="L35" s="1" t="s">
        <v>40</v>
      </c>
      <c r="M35">
        <v>0</v>
      </c>
      <c r="N35">
        <v>0</v>
      </c>
      <c r="O35">
        <v>17</v>
      </c>
      <c r="P35">
        <v>38</v>
      </c>
      <c r="Q35">
        <v>100</v>
      </c>
      <c r="R35">
        <v>39</v>
      </c>
      <c r="S35">
        <v>19</v>
      </c>
      <c r="T35">
        <v>213</v>
      </c>
      <c r="U35">
        <v>71</v>
      </c>
      <c r="W35">
        <f>VLOOKUP(L35,Table13[],2,FALSE)</f>
        <v>0</v>
      </c>
      <c r="X35">
        <f>VLOOKUP($L35,Table13[],3,FALSE)</f>
        <v>0</v>
      </c>
      <c r="Y35">
        <f>VLOOKUP($L35,Table13[],4,FALSE)</f>
        <v>14</v>
      </c>
      <c r="Z35">
        <f>VLOOKUP($L35,Table13[],5,FALSE)</f>
        <v>30</v>
      </c>
      <c r="AA35">
        <f>VLOOKUP($L35,Table13[],6,FALSE)</f>
        <v>63</v>
      </c>
      <c r="AB35">
        <f>VLOOKUP($L35,Table13[],7,FALSE)</f>
        <v>21</v>
      </c>
      <c r="AC35">
        <f>VLOOKUP($L35,Table13[],8,FALSE)</f>
        <v>10</v>
      </c>
      <c r="AD35">
        <f>VLOOKUP($L35,Table13[],9,FALSE)</f>
        <v>140</v>
      </c>
      <c r="AF35" t="str">
        <f t="shared" si="2"/>
        <v>University Of Western Ontario</v>
      </c>
      <c r="AG35" s="16" t="str">
        <f t="shared" si="3"/>
        <v/>
      </c>
      <c r="AH35" s="16" t="str">
        <f t="shared" si="11"/>
        <v/>
      </c>
      <c r="AI35" s="16">
        <f t="shared" si="12"/>
        <v>0.82352941176470584</v>
      </c>
      <c r="AJ35" s="16">
        <f t="shared" si="13"/>
        <v>0.78947368421052633</v>
      </c>
      <c r="AK35" s="16">
        <f t="shared" si="14"/>
        <v>0.63</v>
      </c>
      <c r="AL35" s="16">
        <f t="shared" si="15"/>
        <v>0.53846153846153844</v>
      </c>
      <c r="AM35" s="16">
        <f t="shared" si="16"/>
        <v>0.52631578947368418</v>
      </c>
      <c r="AN35" s="16">
        <f t="shared" si="10"/>
        <v>0.65727699530516437</v>
      </c>
    </row>
    <row r="36" spans="1:40" x14ac:dyDescent="0.2">
      <c r="A36" s="11" t="s">
        <v>44</v>
      </c>
      <c r="B36">
        <v>13</v>
      </c>
      <c r="C36">
        <v>27</v>
      </c>
      <c r="D36">
        <v>25</v>
      </c>
      <c r="E36">
        <v>24</v>
      </c>
      <c r="F36">
        <v>14</v>
      </c>
      <c r="G36">
        <v>14</v>
      </c>
      <c r="H36">
        <v>14</v>
      </c>
      <c r="I36">
        <v>134</v>
      </c>
      <c r="J36">
        <v>33</v>
      </c>
      <c r="L36" s="1" t="s">
        <v>52</v>
      </c>
      <c r="M36">
        <v>0</v>
      </c>
      <c r="N36">
        <v>0</v>
      </c>
      <c r="O36">
        <v>1</v>
      </c>
      <c r="P36">
        <v>9</v>
      </c>
      <c r="Q36">
        <v>35</v>
      </c>
      <c r="R36">
        <v>82</v>
      </c>
      <c r="S36">
        <v>69</v>
      </c>
      <c r="T36">
        <v>196</v>
      </c>
      <c r="U36">
        <v>65</v>
      </c>
      <c r="W36">
        <f>VLOOKUP(L36,Table13[],2,FALSE)</f>
        <v>0</v>
      </c>
      <c r="X36">
        <f>VLOOKUP($L36,Table13[],3,FALSE)</f>
        <v>0</v>
      </c>
      <c r="Y36">
        <f>VLOOKUP($L36,Table13[],4,FALSE)</f>
        <v>1</v>
      </c>
      <c r="Z36">
        <f>VLOOKUP($L36,Table13[],5,FALSE)</f>
        <v>5</v>
      </c>
      <c r="AA36">
        <f>VLOOKUP($L36,Table13[],6,FALSE)</f>
        <v>22</v>
      </c>
      <c r="AB36">
        <f>VLOOKUP($L36,Table13[],7,FALSE)</f>
        <v>40</v>
      </c>
      <c r="AC36">
        <f>VLOOKUP($L36,Table13[],8,FALSE)</f>
        <v>29</v>
      </c>
      <c r="AD36">
        <f>VLOOKUP($L36,Table13[],9,FALSE)</f>
        <v>98</v>
      </c>
      <c r="AF36" t="str">
        <f t="shared" si="2"/>
        <v>Boston University</v>
      </c>
      <c r="AG36" s="16" t="str">
        <f t="shared" si="3"/>
        <v/>
      </c>
      <c r="AH36" s="16" t="str">
        <f t="shared" si="11"/>
        <v/>
      </c>
      <c r="AI36" s="16">
        <f t="shared" si="12"/>
        <v>1</v>
      </c>
      <c r="AJ36" s="16">
        <f t="shared" si="13"/>
        <v>0.55555555555555558</v>
      </c>
      <c r="AK36" s="16">
        <f t="shared" si="14"/>
        <v>0.62857142857142856</v>
      </c>
      <c r="AL36" s="16">
        <f t="shared" si="15"/>
        <v>0.48780487804878048</v>
      </c>
      <c r="AM36" s="16">
        <f t="shared" si="16"/>
        <v>0.42028985507246375</v>
      </c>
      <c r="AN36" s="16">
        <f t="shared" si="10"/>
        <v>0.5</v>
      </c>
    </row>
    <row r="37" spans="1:40" x14ac:dyDescent="0.2">
      <c r="A37" s="11" t="s">
        <v>45</v>
      </c>
      <c r="B37">
        <v>0</v>
      </c>
      <c r="C37">
        <v>0</v>
      </c>
      <c r="D37">
        <v>0</v>
      </c>
      <c r="E37">
        <v>42</v>
      </c>
      <c r="F37">
        <v>45</v>
      </c>
      <c r="G37">
        <v>26</v>
      </c>
      <c r="H37">
        <v>18</v>
      </c>
      <c r="I37">
        <v>132</v>
      </c>
      <c r="J37">
        <v>53</v>
      </c>
      <c r="L37" s="1" t="s">
        <v>41</v>
      </c>
      <c r="M37">
        <v>1</v>
      </c>
      <c r="N37">
        <v>23</v>
      </c>
      <c r="O37">
        <v>50</v>
      </c>
      <c r="P37">
        <v>34</v>
      </c>
      <c r="Q37">
        <v>45</v>
      </c>
      <c r="R37">
        <v>29</v>
      </c>
      <c r="S37">
        <v>14</v>
      </c>
      <c r="T37">
        <v>196</v>
      </c>
      <c r="U37">
        <v>49</v>
      </c>
      <c r="W37">
        <f>VLOOKUP(L37,Table13[],2,FALSE)</f>
        <v>1</v>
      </c>
      <c r="X37">
        <f>VLOOKUP($L37,Table13[],3,FALSE)</f>
        <v>22</v>
      </c>
      <c r="Y37">
        <f>VLOOKUP($L37,Table13[],4,FALSE)</f>
        <v>44</v>
      </c>
      <c r="Z37">
        <f>VLOOKUP($L37,Table13[],5,FALSE)</f>
        <v>24</v>
      </c>
      <c r="AA37">
        <f>VLOOKUP($L37,Table13[],6,FALSE)</f>
        <v>26</v>
      </c>
      <c r="AB37">
        <f>VLOOKUP($L37,Table13[],7,FALSE)</f>
        <v>14</v>
      </c>
      <c r="AC37">
        <f>VLOOKUP($L37,Table13[],8,FALSE)</f>
        <v>6</v>
      </c>
      <c r="AD37">
        <f>VLOOKUP($L37,Table13[],9,FALSE)</f>
        <v>138</v>
      </c>
      <c r="AF37" t="str">
        <f t="shared" si="2"/>
        <v>Michigan State University</v>
      </c>
      <c r="AG37" s="16">
        <f t="shared" si="3"/>
        <v>1</v>
      </c>
      <c r="AH37" s="16">
        <f t="shared" si="11"/>
        <v>0.95652173913043481</v>
      </c>
      <c r="AI37" s="16">
        <f t="shared" si="12"/>
        <v>0.88</v>
      </c>
      <c r="AJ37" s="16">
        <f t="shared" si="13"/>
        <v>0.70588235294117652</v>
      </c>
      <c r="AK37" s="16">
        <f t="shared" si="14"/>
        <v>0.57777777777777772</v>
      </c>
      <c r="AL37" s="16">
        <f t="shared" si="15"/>
        <v>0.48275862068965519</v>
      </c>
      <c r="AM37" s="16">
        <f t="shared" si="16"/>
        <v>0.42857142857142855</v>
      </c>
      <c r="AN37" s="16">
        <f t="shared" si="10"/>
        <v>0.70408163265306123</v>
      </c>
    </row>
    <row r="38" spans="1:40" x14ac:dyDescent="0.2">
      <c r="A38" s="11" t="s">
        <v>46</v>
      </c>
      <c r="B38">
        <v>96</v>
      </c>
      <c r="C38">
        <v>19</v>
      </c>
      <c r="D38">
        <v>7</v>
      </c>
      <c r="E38">
        <v>2</v>
      </c>
      <c r="F38">
        <v>0</v>
      </c>
      <c r="G38">
        <v>0</v>
      </c>
      <c r="H38">
        <v>0</v>
      </c>
      <c r="I38">
        <v>125</v>
      </c>
      <c r="J38">
        <v>50</v>
      </c>
      <c r="L38" s="1" t="s">
        <v>53</v>
      </c>
      <c r="M38">
        <v>0</v>
      </c>
      <c r="N38">
        <v>2</v>
      </c>
      <c r="O38">
        <v>0</v>
      </c>
      <c r="P38">
        <v>35</v>
      </c>
      <c r="Q38">
        <v>62</v>
      </c>
      <c r="R38">
        <v>35</v>
      </c>
      <c r="S38">
        <v>59</v>
      </c>
      <c r="T38">
        <v>193</v>
      </c>
      <c r="U38">
        <v>64</v>
      </c>
      <c r="W38">
        <f>VLOOKUP(L38,Table13[],2,FALSE)</f>
        <v>0</v>
      </c>
      <c r="X38">
        <f>VLOOKUP($L38,Table13[],3,FALSE)</f>
        <v>2</v>
      </c>
      <c r="Y38">
        <f>VLOOKUP($L38,Table13[],4,FALSE)</f>
        <v>0</v>
      </c>
      <c r="Z38">
        <f>VLOOKUP($L38,Table13[],5,FALSE)</f>
        <v>20</v>
      </c>
      <c r="AA38">
        <f>VLOOKUP($L38,Table13[],6,FALSE)</f>
        <v>33</v>
      </c>
      <c r="AB38">
        <f>VLOOKUP($L38,Table13[],7,FALSE)</f>
        <v>17</v>
      </c>
      <c r="AC38">
        <f>VLOOKUP($L38,Table13[],8,FALSE)</f>
        <v>21</v>
      </c>
      <c r="AD38">
        <f>VLOOKUP($L38,Table13[],9,FALSE)</f>
        <v>94</v>
      </c>
      <c r="AF38" t="str">
        <f t="shared" si="2"/>
        <v>California Institute Of Technology</v>
      </c>
      <c r="AG38" s="16" t="str">
        <f t="shared" si="3"/>
        <v/>
      </c>
      <c r="AH38" s="16">
        <f t="shared" si="11"/>
        <v>1</v>
      </c>
      <c r="AI38" s="16" t="str">
        <f t="shared" si="12"/>
        <v/>
      </c>
      <c r="AJ38" s="16">
        <f t="shared" si="13"/>
        <v>0.5714285714285714</v>
      </c>
      <c r="AK38" s="16">
        <f t="shared" si="14"/>
        <v>0.532258064516129</v>
      </c>
      <c r="AL38" s="16">
        <f t="shared" si="15"/>
        <v>0.48571428571428571</v>
      </c>
      <c r="AM38" s="16">
        <f t="shared" si="16"/>
        <v>0.3559322033898305</v>
      </c>
      <c r="AN38" s="16">
        <f t="shared" si="10"/>
        <v>0.48704663212435234</v>
      </c>
    </row>
    <row r="39" spans="1:40" x14ac:dyDescent="0.2">
      <c r="A39" s="11" t="s">
        <v>47</v>
      </c>
      <c r="B39">
        <v>3</v>
      </c>
      <c r="C39">
        <v>19</v>
      </c>
      <c r="D39">
        <v>15</v>
      </c>
      <c r="E39">
        <v>21</v>
      </c>
      <c r="F39">
        <v>21</v>
      </c>
      <c r="G39">
        <v>28</v>
      </c>
      <c r="H39">
        <v>15</v>
      </c>
      <c r="I39">
        <v>124</v>
      </c>
      <c r="J39">
        <v>31</v>
      </c>
      <c r="L39" s="1" t="s">
        <v>47</v>
      </c>
      <c r="M39">
        <v>3</v>
      </c>
      <c r="N39">
        <v>24</v>
      </c>
      <c r="O39">
        <v>17</v>
      </c>
      <c r="P39">
        <v>27</v>
      </c>
      <c r="Q39">
        <v>31</v>
      </c>
      <c r="R39">
        <v>51</v>
      </c>
      <c r="S39">
        <v>37</v>
      </c>
      <c r="T39">
        <v>190</v>
      </c>
      <c r="U39">
        <v>47</v>
      </c>
      <c r="W39">
        <f>VLOOKUP(L39,Table13[],2,FALSE)</f>
        <v>3</v>
      </c>
      <c r="X39">
        <f>VLOOKUP($L39,Table13[],3,FALSE)</f>
        <v>19</v>
      </c>
      <c r="Y39">
        <f>VLOOKUP($L39,Table13[],4,FALSE)</f>
        <v>15</v>
      </c>
      <c r="Z39">
        <f>VLOOKUP($L39,Table13[],5,FALSE)</f>
        <v>21</v>
      </c>
      <c r="AA39">
        <f>VLOOKUP($L39,Table13[],6,FALSE)</f>
        <v>21</v>
      </c>
      <c r="AB39">
        <f>VLOOKUP($L39,Table13[],7,FALSE)</f>
        <v>28</v>
      </c>
      <c r="AC39">
        <f>VLOOKUP($L39,Table13[],8,FALSE)</f>
        <v>15</v>
      </c>
      <c r="AD39">
        <f>VLOOKUP($L39,Table13[],9,FALSE)</f>
        <v>124</v>
      </c>
      <c r="AF39" t="str">
        <f t="shared" si="2"/>
        <v>University Of California, Davis</v>
      </c>
      <c r="AG39" s="16">
        <f t="shared" si="3"/>
        <v>1</v>
      </c>
      <c r="AH39" s="16">
        <f t="shared" si="11"/>
        <v>0.79166666666666663</v>
      </c>
      <c r="AI39" s="16">
        <f t="shared" si="12"/>
        <v>0.88235294117647056</v>
      </c>
      <c r="AJ39" s="16">
        <f t="shared" si="13"/>
        <v>0.77777777777777779</v>
      </c>
      <c r="AK39" s="16">
        <f t="shared" si="14"/>
        <v>0.67741935483870963</v>
      </c>
      <c r="AL39" s="16">
        <f t="shared" si="15"/>
        <v>0.5490196078431373</v>
      </c>
      <c r="AM39" s="16">
        <f t="shared" si="16"/>
        <v>0.40540540540540543</v>
      </c>
      <c r="AN39" s="16">
        <f t="shared" si="10"/>
        <v>0.65263157894736845</v>
      </c>
    </row>
    <row r="40" spans="1:40" x14ac:dyDescent="0.2">
      <c r="A40" s="11" t="s">
        <v>48</v>
      </c>
      <c r="B40">
        <v>16</v>
      </c>
      <c r="C40">
        <v>8</v>
      </c>
      <c r="D40">
        <v>19</v>
      </c>
      <c r="E40">
        <v>28</v>
      </c>
      <c r="F40">
        <v>26</v>
      </c>
      <c r="G40">
        <v>8</v>
      </c>
      <c r="H40">
        <v>11</v>
      </c>
      <c r="I40">
        <v>119</v>
      </c>
      <c r="J40">
        <v>29</v>
      </c>
      <c r="L40" s="1" t="s">
        <v>44</v>
      </c>
      <c r="M40">
        <v>13</v>
      </c>
      <c r="N40">
        <v>34</v>
      </c>
      <c r="O40">
        <v>30</v>
      </c>
      <c r="P40">
        <v>32</v>
      </c>
      <c r="Q40">
        <v>21</v>
      </c>
      <c r="R40">
        <v>21</v>
      </c>
      <c r="S40">
        <v>27</v>
      </c>
      <c r="T40">
        <v>178</v>
      </c>
      <c r="U40">
        <v>44</v>
      </c>
      <c r="W40">
        <f>VLOOKUP(L40,Table13[],2,FALSE)</f>
        <v>13</v>
      </c>
      <c r="X40">
        <f>VLOOKUP($L40,Table13[],3,FALSE)</f>
        <v>27</v>
      </c>
      <c r="Y40">
        <f>VLOOKUP($L40,Table13[],4,FALSE)</f>
        <v>25</v>
      </c>
      <c r="Z40">
        <f>VLOOKUP($L40,Table13[],5,FALSE)</f>
        <v>24</v>
      </c>
      <c r="AA40">
        <f>VLOOKUP($L40,Table13[],6,FALSE)</f>
        <v>14</v>
      </c>
      <c r="AB40">
        <f>VLOOKUP($L40,Table13[],7,FALSE)</f>
        <v>14</v>
      </c>
      <c r="AC40">
        <f>VLOOKUP($L40,Table13[],8,FALSE)</f>
        <v>14</v>
      </c>
      <c r="AD40">
        <f>VLOOKUP($L40,Table13[],9,FALSE)</f>
        <v>134</v>
      </c>
      <c r="AF40" t="str">
        <f t="shared" si="2"/>
        <v>Johns Hopkins University</v>
      </c>
      <c r="AG40" s="16">
        <f t="shared" si="3"/>
        <v>1</v>
      </c>
      <c r="AH40" s="16">
        <f t="shared" si="11"/>
        <v>0.79411764705882348</v>
      </c>
      <c r="AI40" s="16">
        <f t="shared" si="12"/>
        <v>0.83333333333333337</v>
      </c>
      <c r="AJ40" s="16">
        <f t="shared" si="13"/>
        <v>0.75</v>
      </c>
      <c r="AK40" s="16">
        <f t="shared" si="14"/>
        <v>0.66666666666666663</v>
      </c>
      <c r="AL40" s="16">
        <f t="shared" si="15"/>
        <v>0.66666666666666663</v>
      </c>
      <c r="AM40" s="16">
        <f t="shared" si="16"/>
        <v>0.51851851851851849</v>
      </c>
      <c r="AN40" s="16">
        <f t="shared" si="10"/>
        <v>0.7528089887640449</v>
      </c>
    </row>
    <row r="41" spans="1:40" x14ac:dyDescent="0.2">
      <c r="A41" s="11" t="s">
        <v>49</v>
      </c>
      <c r="B41">
        <v>5</v>
      </c>
      <c r="C41">
        <v>14</v>
      </c>
      <c r="D41">
        <v>24</v>
      </c>
      <c r="E41">
        <v>38</v>
      </c>
      <c r="F41">
        <v>12</v>
      </c>
      <c r="G41">
        <v>10</v>
      </c>
      <c r="H41">
        <v>8</v>
      </c>
      <c r="I41">
        <v>112</v>
      </c>
      <c r="J41">
        <v>28</v>
      </c>
      <c r="L41" s="1" t="s">
        <v>48</v>
      </c>
      <c r="M41">
        <v>20</v>
      </c>
      <c r="N41">
        <v>12</v>
      </c>
      <c r="O41">
        <v>23</v>
      </c>
      <c r="P41">
        <v>38</v>
      </c>
      <c r="Q41">
        <v>36</v>
      </c>
      <c r="R41">
        <v>12</v>
      </c>
      <c r="S41">
        <v>33</v>
      </c>
      <c r="T41">
        <v>174</v>
      </c>
      <c r="U41">
        <v>43</v>
      </c>
      <c r="W41">
        <f>VLOOKUP(L41,Table13[],2,FALSE)</f>
        <v>16</v>
      </c>
      <c r="X41">
        <f>VLOOKUP($L41,Table13[],3,FALSE)</f>
        <v>8</v>
      </c>
      <c r="Y41">
        <f>VLOOKUP($L41,Table13[],4,FALSE)</f>
        <v>19</v>
      </c>
      <c r="Z41">
        <f>VLOOKUP($L41,Table13[],5,FALSE)</f>
        <v>28</v>
      </c>
      <c r="AA41">
        <f>VLOOKUP($L41,Table13[],6,FALSE)</f>
        <v>26</v>
      </c>
      <c r="AB41">
        <f>VLOOKUP($L41,Table13[],7,FALSE)</f>
        <v>8</v>
      </c>
      <c r="AC41">
        <f>VLOOKUP($L41,Table13[],8,FALSE)</f>
        <v>11</v>
      </c>
      <c r="AD41">
        <f>VLOOKUP($L41,Table13[],9,FALSE)</f>
        <v>119</v>
      </c>
      <c r="AF41" t="str">
        <f t="shared" si="2"/>
        <v>Brookings Institution</v>
      </c>
      <c r="AG41" s="16">
        <f t="shared" si="3"/>
        <v>0.8</v>
      </c>
      <c r="AH41" s="16">
        <f t="shared" si="11"/>
        <v>0.66666666666666663</v>
      </c>
      <c r="AI41" s="16">
        <f t="shared" si="12"/>
        <v>0.82608695652173914</v>
      </c>
      <c r="AJ41" s="16">
        <f t="shared" si="13"/>
        <v>0.73684210526315785</v>
      </c>
      <c r="AK41" s="16">
        <f t="shared" si="14"/>
        <v>0.72222222222222221</v>
      </c>
      <c r="AL41" s="16">
        <f t="shared" si="15"/>
        <v>0.66666666666666663</v>
      </c>
      <c r="AM41" s="16">
        <f t="shared" si="16"/>
        <v>0.33333333333333331</v>
      </c>
      <c r="AN41" s="16">
        <f t="shared" si="10"/>
        <v>0.68390804597701149</v>
      </c>
    </row>
    <row r="42" spans="1:40" x14ac:dyDescent="0.2">
      <c r="A42" s="11" t="s">
        <v>50</v>
      </c>
      <c r="B42">
        <v>7</v>
      </c>
      <c r="C42">
        <v>24</v>
      </c>
      <c r="D42">
        <v>18</v>
      </c>
      <c r="E42">
        <v>12</v>
      </c>
      <c r="F42">
        <v>16</v>
      </c>
      <c r="G42">
        <v>13</v>
      </c>
      <c r="H42">
        <v>13</v>
      </c>
      <c r="I42">
        <v>104</v>
      </c>
      <c r="J42">
        <v>26</v>
      </c>
      <c r="L42" s="1" t="s">
        <v>56</v>
      </c>
      <c r="M42">
        <v>0</v>
      </c>
      <c r="N42">
        <v>0</v>
      </c>
      <c r="O42">
        <v>0</v>
      </c>
      <c r="P42">
        <v>15</v>
      </c>
      <c r="Q42">
        <v>47</v>
      </c>
      <c r="R42">
        <v>52</v>
      </c>
      <c r="S42">
        <v>58</v>
      </c>
      <c r="T42">
        <v>172</v>
      </c>
      <c r="U42">
        <v>68</v>
      </c>
      <c r="W42">
        <f>VLOOKUP(L42,Table13[],2,FALSE)</f>
        <v>0</v>
      </c>
      <c r="X42">
        <f>VLOOKUP($L42,Table13[],3,FALSE)</f>
        <v>0</v>
      </c>
      <c r="Y42">
        <f>VLOOKUP($L42,Table13[],4,FALSE)</f>
        <v>0</v>
      </c>
      <c r="Z42">
        <f>VLOOKUP($L42,Table13[],5,FALSE)</f>
        <v>9</v>
      </c>
      <c r="AA42">
        <f>VLOOKUP($L42,Table13[],6,FALSE)</f>
        <v>28</v>
      </c>
      <c r="AB42">
        <f>VLOOKUP($L42,Table13[],7,FALSE)</f>
        <v>27</v>
      </c>
      <c r="AC42">
        <f>VLOOKUP($L42,Table13[],8,FALSE)</f>
        <v>23</v>
      </c>
      <c r="AD42">
        <f>VLOOKUP($L42,Table13[],9,FALSE)</f>
        <v>88</v>
      </c>
      <c r="AF42" t="str">
        <f t="shared" si="2"/>
        <v>World Bank</v>
      </c>
      <c r="AG42" s="16" t="str">
        <f t="shared" si="3"/>
        <v/>
      </c>
      <c r="AH42" s="16" t="str">
        <f t="shared" si="11"/>
        <v/>
      </c>
      <c r="AI42" s="16" t="str">
        <f t="shared" si="12"/>
        <v/>
      </c>
      <c r="AJ42" s="16">
        <f t="shared" si="13"/>
        <v>0.6</v>
      </c>
      <c r="AK42" s="16">
        <f t="shared" si="14"/>
        <v>0.5957446808510638</v>
      </c>
      <c r="AL42" s="16">
        <f t="shared" si="15"/>
        <v>0.51923076923076927</v>
      </c>
      <c r="AM42" s="16">
        <f t="shared" si="16"/>
        <v>0.39655172413793105</v>
      </c>
      <c r="AN42" s="16">
        <f t="shared" si="10"/>
        <v>0.51162790697674421</v>
      </c>
    </row>
    <row r="43" spans="1:40" x14ac:dyDescent="0.2">
      <c r="A43" s="11" t="s">
        <v>51</v>
      </c>
      <c r="B43">
        <v>18</v>
      </c>
      <c r="C43">
        <v>21</v>
      </c>
      <c r="D43">
        <v>20</v>
      </c>
      <c r="E43">
        <v>21</v>
      </c>
      <c r="F43">
        <v>12</v>
      </c>
      <c r="G43">
        <v>4</v>
      </c>
      <c r="H43">
        <v>5</v>
      </c>
      <c r="I43">
        <v>103</v>
      </c>
      <c r="J43">
        <v>25</v>
      </c>
      <c r="L43" s="1" t="s">
        <v>49</v>
      </c>
      <c r="M43">
        <v>6</v>
      </c>
      <c r="N43">
        <v>15</v>
      </c>
      <c r="O43">
        <v>26</v>
      </c>
      <c r="P43">
        <v>50</v>
      </c>
      <c r="Q43">
        <v>19</v>
      </c>
      <c r="R43">
        <v>19</v>
      </c>
      <c r="S43">
        <v>20</v>
      </c>
      <c r="T43">
        <v>155</v>
      </c>
      <c r="U43">
        <v>38</v>
      </c>
      <c r="W43">
        <f>VLOOKUP(L43,Table13[],2,FALSE)</f>
        <v>5</v>
      </c>
      <c r="X43">
        <f>VLOOKUP($L43,Table13[],3,FALSE)</f>
        <v>14</v>
      </c>
      <c r="Y43">
        <f>VLOOKUP($L43,Table13[],4,FALSE)</f>
        <v>24</v>
      </c>
      <c r="Z43">
        <f>VLOOKUP($L43,Table13[],5,FALSE)</f>
        <v>38</v>
      </c>
      <c r="AA43">
        <f>VLOOKUP($L43,Table13[],6,FALSE)</f>
        <v>12</v>
      </c>
      <c r="AB43">
        <f>VLOOKUP($L43,Table13[],7,FALSE)</f>
        <v>10</v>
      </c>
      <c r="AC43">
        <f>VLOOKUP($L43,Table13[],8,FALSE)</f>
        <v>8</v>
      </c>
      <c r="AD43">
        <f>VLOOKUP($L43,Table13[],9,FALSE)</f>
        <v>112</v>
      </c>
      <c r="AF43" t="str">
        <f t="shared" si="2"/>
        <v>University Of Cambridge</v>
      </c>
      <c r="AG43" s="16">
        <f t="shared" si="3"/>
        <v>0.83333333333333337</v>
      </c>
      <c r="AH43" s="16">
        <f t="shared" si="11"/>
        <v>0.93333333333333335</v>
      </c>
      <c r="AI43" s="16">
        <f t="shared" si="12"/>
        <v>0.92307692307692313</v>
      </c>
      <c r="AJ43" s="16">
        <f t="shared" si="13"/>
        <v>0.76</v>
      </c>
      <c r="AK43" s="16">
        <f t="shared" si="14"/>
        <v>0.63157894736842102</v>
      </c>
      <c r="AL43" s="16">
        <f t="shared" si="15"/>
        <v>0.52631578947368418</v>
      </c>
      <c r="AM43" s="16">
        <f t="shared" si="16"/>
        <v>0.4</v>
      </c>
      <c r="AN43" s="16">
        <f t="shared" si="10"/>
        <v>0.72258064516129028</v>
      </c>
    </row>
    <row r="44" spans="1:40" x14ac:dyDescent="0.2">
      <c r="A44" s="11" t="s">
        <v>52</v>
      </c>
      <c r="B44">
        <v>0</v>
      </c>
      <c r="C44">
        <v>0</v>
      </c>
      <c r="D44">
        <v>1</v>
      </c>
      <c r="E44">
        <v>5</v>
      </c>
      <c r="F44">
        <v>22</v>
      </c>
      <c r="G44">
        <v>40</v>
      </c>
      <c r="H44">
        <v>29</v>
      </c>
      <c r="I44">
        <v>98</v>
      </c>
      <c r="J44">
        <v>32</v>
      </c>
      <c r="L44" s="1" t="s">
        <v>55</v>
      </c>
      <c r="M44">
        <v>8</v>
      </c>
      <c r="N44">
        <v>16</v>
      </c>
      <c r="O44">
        <v>9</v>
      </c>
      <c r="P44">
        <v>19</v>
      </c>
      <c r="Q44">
        <v>13</v>
      </c>
      <c r="R44">
        <v>35</v>
      </c>
      <c r="S44">
        <v>52</v>
      </c>
      <c r="T44">
        <v>152</v>
      </c>
      <c r="U44">
        <v>38</v>
      </c>
      <c r="W44">
        <f>VLOOKUP(L44,Table13[],2,FALSE)</f>
        <v>7</v>
      </c>
      <c r="X44">
        <f>VLOOKUP($L44,Table13[],3,FALSE)</f>
        <v>13</v>
      </c>
      <c r="Y44">
        <f>VLOOKUP($L44,Table13[],4,FALSE)</f>
        <v>7</v>
      </c>
      <c r="Z44">
        <f>VLOOKUP($L44,Table13[],5,FALSE)</f>
        <v>13</v>
      </c>
      <c r="AA44">
        <f>VLOOKUP($L44,Table13[],6,FALSE)</f>
        <v>9</v>
      </c>
      <c r="AB44">
        <f>VLOOKUP($L44,Table13[],7,FALSE)</f>
        <v>19</v>
      </c>
      <c r="AC44">
        <f>VLOOKUP($L44,Table13[],8,FALSE)</f>
        <v>22</v>
      </c>
      <c r="AD44">
        <f>VLOOKUP($L44,Table13[],9,FALSE)</f>
        <v>93</v>
      </c>
      <c r="AF44" t="str">
        <f t="shared" si="2"/>
        <v>International Monetary Fund (Imf)</v>
      </c>
      <c r="AG44" s="16">
        <f t="shared" si="3"/>
        <v>0.875</v>
      </c>
      <c r="AH44" s="16">
        <f t="shared" si="11"/>
        <v>0.8125</v>
      </c>
      <c r="AI44" s="16">
        <f t="shared" si="12"/>
        <v>0.77777777777777779</v>
      </c>
      <c r="AJ44" s="16">
        <f t="shared" si="13"/>
        <v>0.68421052631578949</v>
      </c>
      <c r="AK44" s="16">
        <f t="shared" si="14"/>
        <v>0.69230769230769229</v>
      </c>
      <c r="AL44" s="16">
        <f t="shared" si="15"/>
        <v>0.54285714285714282</v>
      </c>
      <c r="AM44" s="16">
        <f t="shared" si="16"/>
        <v>0.42307692307692307</v>
      </c>
      <c r="AN44" s="16">
        <f t="shared" si="10"/>
        <v>0.61184210526315785</v>
      </c>
    </row>
    <row r="45" spans="1:40" x14ac:dyDescent="0.2">
      <c r="A45" s="11" t="s">
        <v>53</v>
      </c>
      <c r="B45">
        <v>0</v>
      </c>
      <c r="C45">
        <v>2</v>
      </c>
      <c r="D45">
        <v>0</v>
      </c>
      <c r="E45">
        <v>20</v>
      </c>
      <c r="F45">
        <v>33</v>
      </c>
      <c r="G45">
        <v>17</v>
      </c>
      <c r="H45">
        <v>21</v>
      </c>
      <c r="I45">
        <v>94</v>
      </c>
      <c r="J45">
        <v>31</v>
      </c>
      <c r="L45" s="1" t="s">
        <v>50</v>
      </c>
      <c r="M45">
        <v>7</v>
      </c>
      <c r="N45">
        <v>25</v>
      </c>
      <c r="O45">
        <v>21</v>
      </c>
      <c r="P45">
        <v>17</v>
      </c>
      <c r="Q45">
        <v>24</v>
      </c>
      <c r="R45">
        <v>24</v>
      </c>
      <c r="S45">
        <v>28</v>
      </c>
      <c r="T45">
        <v>146</v>
      </c>
      <c r="U45">
        <v>36</v>
      </c>
      <c r="W45">
        <f>VLOOKUP(L45,Table13[],2,FALSE)</f>
        <v>7</v>
      </c>
      <c r="X45">
        <f>VLOOKUP($L45,Table13[],3,FALSE)</f>
        <v>24</v>
      </c>
      <c r="Y45">
        <f>VLOOKUP($L45,Table13[],4,FALSE)</f>
        <v>18</v>
      </c>
      <c r="Z45">
        <f>VLOOKUP($L45,Table13[],5,FALSE)</f>
        <v>12</v>
      </c>
      <c r="AA45">
        <f>VLOOKUP($L45,Table13[],6,FALSE)</f>
        <v>16</v>
      </c>
      <c r="AB45">
        <f>VLOOKUP($L45,Table13[],7,FALSE)</f>
        <v>13</v>
      </c>
      <c r="AC45">
        <f>VLOOKUP($L45,Table13[],8,FALSE)</f>
        <v>13</v>
      </c>
      <c r="AD45">
        <f>VLOOKUP($L45,Table13[],9,FALSE)</f>
        <v>104</v>
      </c>
      <c r="AF45" t="str">
        <f t="shared" si="2"/>
        <v>Vanderbilt University</v>
      </c>
      <c r="AG45" s="16">
        <f t="shared" si="3"/>
        <v>1</v>
      </c>
      <c r="AH45" s="16">
        <f t="shared" si="11"/>
        <v>0.96</v>
      </c>
      <c r="AI45" s="16">
        <f t="shared" si="12"/>
        <v>0.8571428571428571</v>
      </c>
      <c r="AJ45" s="16">
        <f t="shared" si="13"/>
        <v>0.70588235294117652</v>
      </c>
      <c r="AK45" s="16">
        <f t="shared" si="14"/>
        <v>0.66666666666666663</v>
      </c>
      <c r="AL45" s="16">
        <f t="shared" si="15"/>
        <v>0.54166666666666663</v>
      </c>
      <c r="AM45" s="16">
        <f t="shared" si="16"/>
        <v>0.4642857142857143</v>
      </c>
      <c r="AN45" s="16">
        <f t="shared" si="10"/>
        <v>0.71232876712328763</v>
      </c>
    </row>
    <row r="46" spans="1:40" x14ac:dyDescent="0.2">
      <c r="A46" s="11" t="s">
        <v>54</v>
      </c>
      <c r="B46">
        <v>36</v>
      </c>
      <c r="C46">
        <v>14</v>
      </c>
      <c r="D46">
        <v>15</v>
      </c>
      <c r="E46">
        <v>12</v>
      </c>
      <c r="F46">
        <v>7</v>
      </c>
      <c r="G46">
        <v>4</v>
      </c>
      <c r="H46">
        <v>3</v>
      </c>
      <c r="I46">
        <v>94</v>
      </c>
      <c r="J46">
        <v>23</v>
      </c>
      <c r="L46" s="1" t="s">
        <v>51</v>
      </c>
      <c r="M46">
        <v>20</v>
      </c>
      <c r="N46">
        <v>22</v>
      </c>
      <c r="O46">
        <v>24</v>
      </c>
      <c r="P46">
        <v>34</v>
      </c>
      <c r="Q46">
        <v>27</v>
      </c>
      <c r="R46">
        <v>8</v>
      </c>
      <c r="S46">
        <v>11</v>
      </c>
      <c r="T46">
        <v>146</v>
      </c>
      <c r="U46">
        <v>36</v>
      </c>
      <c r="W46">
        <f>VLOOKUP(L46,Table13[],2,FALSE)</f>
        <v>18</v>
      </c>
      <c r="X46">
        <f>VLOOKUP($L46,Table13[],3,FALSE)</f>
        <v>21</v>
      </c>
      <c r="Y46">
        <f>VLOOKUP($L46,Table13[],4,FALSE)</f>
        <v>20</v>
      </c>
      <c r="Z46">
        <f>VLOOKUP($L46,Table13[],5,FALSE)</f>
        <v>21</v>
      </c>
      <c r="AA46">
        <f>VLOOKUP($L46,Table13[],6,FALSE)</f>
        <v>12</v>
      </c>
      <c r="AB46">
        <f>VLOOKUP($L46,Table13[],7,FALSE)</f>
        <v>4</v>
      </c>
      <c r="AC46">
        <f>VLOOKUP($L46,Table13[],8,FALSE)</f>
        <v>5</v>
      </c>
      <c r="AD46">
        <f>VLOOKUP($L46,Table13[],9,FALSE)</f>
        <v>103</v>
      </c>
      <c r="AF46" t="str">
        <f t="shared" si="2"/>
        <v>University Of Illinois</v>
      </c>
      <c r="AG46" s="16">
        <f t="shared" si="3"/>
        <v>0.9</v>
      </c>
      <c r="AH46" s="16">
        <f t="shared" si="11"/>
        <v>0.95454545454545459</v>
      </c>
      <c r="AI46" s="16">
        <f t="shared" si="12"/>
        <v>0.83333333333333337</v>
      </c>
      <c r="AJ46" s="16">
        <f t="shared" si="13"/>
        <v>0.61764705882352944</v>
      </c>
      <c r="AK46" s="16">
        <f t="shared" si="14"/>
        <v>0.44444444444444442</v>
      </c>
      <c r="AL46" s="16">
        <f t="shared" si="15"/>
        <v>0.5</v>
      </c>
      <c r="AM46" s="16">
        <f t="shared" si="16"/>
        <v>0.45454545454545453</v>
      </c>
      <c r="AN46" s="16">
        <f t="shared" si="10"/>
        <v>0.70547945205479456</v>
      </c>
    </row>
    <row r="47" spans="1:40" x14ac:dyDescent="0.2">
      <c r="A47" s="11" t="s">
        <v>55</v>
      </c>
      <c r="B47">
        <v>7</v>
      </c>
      <c r="C47">
        <v>13</v>
      </c>
      <c r="D47">
        <v>7</v>
      </c>
      <c r="E47">
        <v>13</v>
      </c>
      <c r="F47">
        <v>9</v>
      </c>
      <c r="G47">
        <v>19</v>
      </c>
      <c r="H47">
        <v>22</v>
      </c>
      <c r="I47">
        <v>93</v>
      </c>
      <c r="J47">
        <v>23</v>
      </c>
      <c r="AF47" t="s">
        <v>67</v>
      </c>
      <c r="AG47" s="16">
        <f>AVERAGE(AG2:AG46)</f>
        <v>0.87288686401100335</v>
      </c>
      <c r="AH47" s="16">
        <f t="shared" ref="AH47:AN47" si="17">AVERAGE(AH2:AH46)</f>
        <v>0.84920714140038789</v>
      </c>
      <c r="AI47" s="16">
        <f t="shared" si="17"/>
        <v>0.77634933568150022</v>
      </c>
      <c r="AJ47" s="16">
        <f t="shared" si="17"/>
        <v>0.68947353885052931</v>
      </c>
      <c r="AK47" s="16">
        <f t="shared" si="17"/>
        <v>0.61823153799763308</v>
      </c>
      <c r="AL47" s="16">
        <f t="shared" si="17"/>
        <v>0.53025364521285934</v>
      </c>
      <c r="AM47" s="16">
        <f t="shared" si="17"/>
        <v>0.43409763007959157</v>
      </c>
      <c r="AN47" s="16">
        <f t="shared" si="17"/>
        <v>0.62271314081077478</v>
      </c>
    </row>
    <row r="48" spans="1:40" x14ac:dyDescent="0.2">
      <c r="A48" s="11" t="s">
        <v>56</v>
      </c>
      <c r="B48">
        <v>0</v>
      </c>
      <c r="C48">
        <v>0</v>
      </c>
      <c r="D48">
        <v>0</v>
      </c>
      <c r="E48">
        <v>9</v>
      </c>
      <c r="F48">
        <v>28</v>
      </c>
      <c r="G48">
        <v>27</v>
      </c>
      <c r="H48">
        <v>23</v>
      </c>
      <c r="I48">
        <v>88</v>
      </c>
      <c r="J48">
        <v>35</v>
      </c>
    </row>
    <row r="49" spans="1:10" x14ac:dyDescent="0.2">
      <c r="A49" s="11" t="s">
        <v>57</v>
      </c>
      <c r="B49">
        <v>0</v>
      </c>
      <c r="C49">
        <v>1</v>
      </c>
      <c r="D49">
        <v>12</v>
      </c>
      <c r="E49">
        <v>38</v>
      </c>
      <c r="F49">
        <v>24</v>
      </c>
      <c r="G49">
        <v>9</v>
      </c>
      <c r="H49">
        <v>2</v>
      </c>
      <c r="I49">
        <v>88</v>
      </c>
      <c r="J49">
        <v>25</v>
      </c>
    </row>
    <row r="50" spans="1:10" x14ac:dyDescent="0.2">
      <c r="A50" s="11" t="s">
        <v>58</v>
      </c>
      <c r="B50">
        <v>0</v>
      </c>
      <c r="C50">
        <v>2</v>
      </c>
      <c r="D50">
        <v>5</v>
      </c>
      <c r="E50">
        <v>31</v>
      </c>
      <c r="F50">
        <v>31</v>
      </c>
      <c r="G50">
        <v>12</v>
      </c>
      <c r="H50">
        <v>3</v>
      </c>
      <c r="I50">
        <v>87</v>
      </c>
      <c r="J50">
        <v>24</v>
      </c>
    </row>
    <row r="51" spans="1:10" x14ac:dyDescent="0.2">
      <c r="A51" s="11" t="s">
        <v>59</v>
      </c>
      <c r="B51">
        <v>1</v>
      </c>
      <c r="C51">
        <v>4</v>
      </c>
      <c r="D51">
        <v>2</v>
      </c>
      <c r="E51">
        <v>32</v>
      </c>
      <c r="F51">
        <v>10</v>
      </c>
      <c r="G51">
        <v>15</v>
      </c>
      <c r="H51">
        <v>17</v>
      </c>
      <c r="I51">
        <v>84</v>
      </c>
      <c r="J51">
        <v>21</v>
      </c>
    </row>
  </sheetData>
  <conditionalFormatting sqref="AG2:AN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X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Johnson</cp:lastModifiedBy>
  <dcterms:created xsi:type="dcterms:W3CDTF">2024-09-21T09:32:47Z</dcterms:created>
  <dcterms:modified xsi:type="dcterms:W3CDTF">2024-09-22T16:18:03Z</dcterms:modified>
</cp:coreProperties>
</file>